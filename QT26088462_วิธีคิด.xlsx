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xtt\Downloads\23.11\"/>
    </mc:Choice>
  </mc:AlternateContent>
  <xr:revisionPtr revIDLastSave="0" documentId="13_ncr:1_{CF282F75-1655-432A-B659-E9B55AE94774}" xr6:coauthVersionLast="47" xr6:coauthVersionMax="47" xr10:uidLastSave="{00000000-0000-0000-0000-000000000000}"/>
  <bookViews>
    <workbookView xWindow="25800" yWindow="0" windowWidth="25800" windowHeight="20880" tabRatio="500" xr2:uid="{00000000-000D-0000-FFFF-FFFF00000000}"/>
  </bookViews>
  <sheets>
    <sheet name="สรุป" sheetId="1" r:id="rId1"/>
    <sheet name="ข้อมูลเอกสาร" sheetId="2" r:id="rId2"/>
    <sheet name="วิธีคิดทีละขั้น" sheetId="3" r:id="rId3"/>
    <sheet name="รายการภาษี" sheetId="4" r:id="rId4"/>
    <sheet name="การชำระเงิน" sheetId="5" r:id="rId5"/>
    <sheet name="ตรวจสอบและข้อสังเกต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8" i="1" l="1"/>
  <c r="D137" i="1"/>
  <c r="D67" i="1"/>
  <c r="D63" i="1"/>
  <c r="C13" i="6"/>
  <c r="E13" i="6" s="1"/>
  <c r="E6" i="5"/>
  <c r="D11" i="5" s="1"/>
  <c r="D6" i="5"/>
  <c r="E5" i="4"/>
  <c r="D35" i="3"/>
  <c r="D20" i="3"/>
  <c r="D5" i="4" s="1"/>
  <c r="D11" i="3"/>
  <c r="D9" i="3"/>
  <c r="C4" i="6" s="1"/>
  <c r="E4" i="6" s="1"/>
  <c r="C7" i="1"/>
  <c r="C6" i="1"/>
  <c r="C5" i="1"/>
  <c r="C8" i="6" l="1"/>
  <c r="E8" i="6" s="1"/>
  <c r="D16" i="3"/>
  <c r="D8" i="5"/>
  <c r="D21" i="3"/>
  <c r="C4" i="1"/>
  <c r="D34" i="3"/>
  <c r="D23" i="3"/>
  <c r="G5" i="4" l="1"/>
  <c r="C9" i="6"/>
  <c r="E9" i="6" s="1"/>
  <c r="D10" i="4"/>
  <c r="C5" i="6"/>
  <c r="E5" i="6" s="1"/>
  <c r="D25" i="3"/>
  <c r="D17" i="3"/>
  <c r="C9" i="1"/>
  <c r="D18" i="3"/>
  <c r="H5" i="4"/>
  <c r="C10" i="6"/>
  <c r="E10" i="6" s="1"/>
  <c r="D31" i="3"/>
  <c r="F5" i="4"/>
  <c r="D22" i="3"/>
  <c r="D26" i="3" l="1"/>
  <c r="E4" i="4"/>
  <c r="D27" i="3" l="1"/>
  <c r="D4" i="4"/>
  <c r="C6" i="6"/>
  <c r="E6" i="6" s="1"/>
  <c r="D28" i="3"/>
  <c r="H4" i="4" l="1"/>
  <c r="H6" i="4" s="1"/>
  <c r="G4" i="4"/>
  <c r="D9" i="4"/>
  <c r="D11" i="4"/>
  <c r="D30" i="3"/>
  <c r="D32" i="3" s="1"/>
  <c r="C7" i="6"/>
  <c r="E7" i="6" s="1"/>
  <c r="C8" i="1" l="1"/>
  <c r="D36" i="3"/>
  <c r="D37" i="3" s="1"/>
  <c r="C11" i="6"/>
  <c r="E11" i="6" s="1"/>
  <c r="D9" i="5"/>
  <c r="D10" i="5"/>
  <c r="C12" i="6" l="1"/>
  <c r="E12" i="6" s="1"/>
  <c r="D39" i="3"/>
  <c r="C12" i="1" s="1"/>
  <c r="D38" i="3"/>
  <c r="C11" i="1" s="1"/>
  <c r="C10" i="1"/>
</calcChain>
</file>

<file path=xl/sharedStrings.xml><?xml version="1.0" encoding="utf-8"?>
<sst xmlns="http://schemas.openxmlformats.org/spreadsheetml/2006/main" count="360" uniqueCount="305">
  <si>
    <t>สรุปกำไร — QT26088462 (ตรงกับกล่อง 'สรุปกำไร' บนหน้าจอ)</t>
  </si>
  <si>
    <t>#</t>
  </si>
  <si>
    <t>รายการ</t>
  </si>
  <si>
    <t>จำนวน (บาท)</t>
  </si>
  <si>
    <t>ที่มา / วิธีคิด</t>
  </si>
  <si>
    <t>1</t>
  </si>
  <si>
    <t>ยอดค่าขายรับมา</t>
  </si>
  <si>
    <t>ราคาขายต่อท่าน 18,888.00 × 2 ท่าน</t>
  </si>
  <si>
    <t>2</t>
  </si>
  <si>
    <t>ต้นทุนโฮลเซลล์</t>
  </si>
  <si>
    <t>ราคาที่ซื้อจากบริษัทโฮลเซลล์ (18,073.98 ต่อท่าน)</t>
  </si>
  <si>
    <t>3</t>
  </si>
  <si>
    <t>ชำระโฮลเซลล์แล้ว</t>
  </si>
  <si>
    <t>จ่ายจริงตามรายการ WS26080615 วันที่ 28/08/2026</t>
  </si>
  <si>
    <t>4</t>
  </si>
  <si>
    <t>ค้างจ่ายโฮลเซลล์</t>
  </si>
  <si>
    <t>ต้นทุนโฮลเซลล์ − ที่จ่ายแล้ว = 0.00 (ปิดยอดครบ)</t>
  </si>
  <si>
    <t>5</t>
  </si>
  <si>
    <t>ต้นทุนอื่น</t>
  </si>
  <si>
    <t>ภาษีขาย 104.67 + ภาษีหัก ณ ที่จ่าย 28.04</t>
  </si>
  <si>
    <t>6</t>
  </si>
  <si>
    <t>กำไรขั้นต้น (ก่อนภาษี)</t>
  </si>
  <si>
    <t>ยอดขาย − ต้นทุนโฮลเซลล์</t>
  </si>
  <si>
    <t>7</t>
  </si>
  <si>
    <t>กำไรสุทธิ</t>
  </si>
  <si>
    <t>ยอดขาย − ต้นทุนโฮลเซลล์ − ต้นทุนอื่น</t>
  </si>
  <si>
    <t>8</t>
  </si>
  <si>
    <t>อัตรากำไรสุทธิ</t>
  </si>
  <si>
    <t>กำไรสุทธิ ÷ ยอดขาย</t>
  </si>
  <si>
    <t>9</t>
  </si>
  <si>
    <t>กำไรสุทธิต่อท่าน</t>
  </si>
  <si>
    <t>กำไรสุทธิ ÷ 2 ท่าน</t>
  </si>
  <si>
    <t>สมการเดียวจบ</t>
  </si>
  <si>
    <t>37,776.00 − 36,147.96 − 104.67 − 28.04 = 1,495.33 บาท</t>
  </si>
  <si>
    <t>ข้อมูลเอกสาร / ลูกค้า / การจอง / แพคเกจ</t>
  </si>
  <si>
    <t>หัวข้อ</t>
  </si>
  <si>
    <t>ค่า</t>
  </si>
  <si>
    <t>หมายเหตุ</t>
  </si>
  <si>
    <t>— เอกสาร —</t>
  </si>
  <si>
    <t>เลขที่ใบเสนอราคา</t>
  </si>
  <si>
    <t>QT26088462</t>
  </si>
  <si>
    <t>วันที่ออกเอกสาร</t>
  </si>
  <si>
    <t>27 ส.ค. 2569 13:25</t>
  </si>
  <si>
    <t>พ.ศ. 2569 = ค.ศ. 2026</t>
  </si>
  <si>
    <t>— ลูกค้า —</t>
  </si>
  <si>
    <t>รหัสลูกค้า</t>
  </si>
  <si>
    <t>CUS-26087195</t>
  </si>
  <si>
    <t>ชื่อลูกค้า</t>
  </si>
  <si>
    <t>ศุภกร ศรีบวรบุญ…</t>
  </si>
  <si>
    <t>อ่านจากภาพ ความละเอียดต่ำ — ควรยืนยันสะกดกับระบบ</t>
  </si>
  <si>
    <t>อีเมล</t>
  </si>
  <si>
    <t>supakorn.sri…@krungsri.com</t>
  </si>
  <si>
    <t>อ่านจากภาพ — ควรยืนยันกับระบบ</t>
  </si>
  <si>
    <t>เบอร์โทร</t>
  </si>
  <si>
    <t>064-652-8955</t>
  </si>
  <si>
    <t>LINE</t>
  </si>
  <si>
    <t>Bam_Krungsri#519</t>
  </si>
  <si>
    <t>เลขผู้เสียภาษี / ที่อยู่</t>
  </si>
  <si>
    <t>ไม่ระบุ (-)</t>
  </si>
  <si>
    <t>หากลูกค้าขอใบกำกับภาษีเต็มรูป ต้องเก็บข้อมูลนี้เพิ่ม</t>
  </si>
  <si>
    <t>— การจอง —</t>
  </si>
  <si>
    <t>Booking No.</t>
  </si>
  <si>
    <t>BK26088457</t>
  </si>
  <si>
    <t>รหัสทัวร์</t>
  </si>
  <si>
    <t>JP0909261140</t>
  </si>
  <si>
    <t>พนักงานขาย</t>
  </si>
  <si>
    <t>เมธาพัชร์ ตันตระกูล (ปั้น)</t>
  </si>
  <si>
    <t>อ่านจากภาพ</t>
  </si>
  <si>
    <t>วันที่เสนอราคา</t>
  </si>
  <si>
    <t>27 ส.ค. 2569</t>
  </si>
  <si>
    <t>แก้ไขล่าสุด</t>
  </si>
  <si>
    <t>28/08/2026 09:57 โดย วนิษา จิตรมล (แอน)</t>
  </si>
  <si>
    <t>— แพคเกจ —</t>
  </si>
  <si>
    <t>ชื่อแพคเกจ</t>
  </si>
  <si>
    <t>XJ357 ทัวร์ญี่ปุ่น TOKYO FUJI SUMMER FREEDAY 6D4N</t>
  </si>
  <si>
    <t>สายการบิน</t>
  </si>
  <si>
    <t>Air Asia X (XJ)</t>
  </si>
  <si>
    <t>วันเดินทาง</t>
  </si>
  <si>
    <t>9 ก.ย. 2569 – 14 ก.ย. 2569</t>
  </si>
  <si>
    <t>ระบุ 6 วัน 4 คืน (ปกติคือบินดึกคืนแรก)</t>
  </si>
  <si>
    <t>ผู้เดินทาง</t>
  </si>
  <si>
    <t>2 ท่าน</t>
  </si>
  <si>
    <t>โฮลเซลล์</t>
  </si>
  <si>
    <t>บริษัทโฮลเซลล์ผู้จัดทัวร์</t>
  </si>
  <si>
    <t>ชื่อบริษัทในภาพอ่านไม่ชัด — ควรยืนยันกับระบบ</t>
  </si>
  <si>
    <t>— สถานะการเงิน —</t>
  </si>
  <si>
    <t>ราคาขาย</t>
  </si>
  <si>
    <t>37,776.00 บาท</t>
  </si>
  <si>
    <t>กำหนดชำระมัดจำ</t>
  </si>
  <si>
    <t>28 ส.ค. 2569 — 0.00 บาท</t>
  </si>
  <si>
    <t>ไม่มีการเก็บมัดจำ</t>
  </si>
  <si>
    <t>กำหนดชำระเต็มจำนวน</t>
  </si>
  <si>
    <t>27 ส.ค. 2569 — 37,776.00 บาท</t>
  </si>
  <si>
    <t>วันครบกำหนดเต็มมาก่อนวันมัดจำ 1 วัน (ดูข้อสังเกต)</t>
  </si>
  <si>
    <t>สถานะ</t>
  </si>
  <si>
    <t>ชำระเงินครบแล้ว</t>
  </si>
  <si>
    <t>วิธีคิดทีละขั้น — เอกสาร QT26088462 / Booking BK26088457</t>
  </si>
  <si>
    <t>ที่มาข้อมูล: ภาพหน้าจอระบบหลังบ้าน Next Trip Holiday ที่ผู้ใช้อัปโหลด (27–28 ส.ค. 2569)</t>
  </si>
  <si>
    <t>สีน้ำเงิน = ค่าตั้งต้นที่กรอกเอง (แก้ได้)  |  สีดำ = สูตรคำนวณในชีตนี้  |  สีเขียว = ลิงก์จากชีตอื่น</t>
  </si>
  <si>
    <t>ขั้นที่</t>
  </si>
  <si>
    <t>สูตร / ที่มา</t>
  </si>
  <si>
    <t>ก. ข้อมูลตั้งต้น (Input)</t>
  </si>
  <si>
    <t>ก.1</t>
  </si>
  <si>
    <t>ราคาขายต่อท่าน</t>
  </si>
  <si>
    <t>กรอกเอง — อนุมานจาก 37,776.00 ÷ 2 ท่าน</t>
  </si>
  <si>
    <t>ราคาที่เสนอลูกค้า</t>
  </si>
  <si>
    <t>ก.2</t>
  </si>
  <si>
    <t>จำนวนผู้เดินทาง (ท่าน)</t>
  </si>
  <si>
    <t>กรอกเอง — จากรายละเอียดแพคเกจ</t>
  </si>
  <si>
    <t>ก.3</t>
  </si>
  <si>
    <t>ราคาขายรวม (ยอดค่าขายรับมา)</t>
  </si>
  <si>
    <t>ก.1 × ก.2</t>
  </si>
  <si>
    <t>ตรงกับ 'ราคาขาย 37,776.00 บาท' บนหน้าจอ</t>
  </si>
  <si>
    <t>ก.4</t>
  </si>
  <si>
    <t>ต้นทุนโฮลเซลล์รวม</t>
  </si>
  <si>
    <t>กรอกเอง — จากช่อง 'ต้นทุนโฮลเซลล์'</t>
  </si>
  <si>
    <t>ก.5</t>
  </si>
  <si>
    <t>ต้นทุนโฮลเซลล์ต่อท่าน</t>
  </si>
  <si>
    <t>ก.4 ÷ ก.2</t>
  </si>
  <si>
    <t>ก.6</t>
  </si>
  <si>
    <t>อัตราภาษีมูลค่าเพิ่ม (VAT)</t>
  </si>
  <si>
    <t>กรอกเอง — อัตราตามกฎหมาย</t>
  </si>
  <si>
    <t>ก.7</t>
  </si>
  <si>
    <t>อัตราภาษีหัก ณ ที่จ่าย</t>
  </si>
  <si>
    <t>กรอกเอง — ค่าบริการทั่วไป 3%</t>
  </si>
  <si>
    <t>อนุมานจาก 28.04 ÷ 934.58 = 3.00%</t>
  </si>
  <si>
    <t>ก.8</t>
  </si>
  <si>
    <t>ยอดใบกำกับภาษีซื้อ 260827-020 (รวม VAT)</t>
  </si>
  <si>
    <t>กรอกเอง — อนุมานจาก 934.58 + 65.42</t>
  </si>
  <si>
    <t>ยอดกลม 1,000 บาท</t>
  </si>
  <si>
    <t>ข. กำไรขั้นต้น (ก่อนภาษี)</t>
  </si>
  <si>
    <t>ข.1</t>
  </si>
  <si>
    <t>กำไรขั้นต้น</t>
  </si>
  <si>
    <t>ก.3 − ก.4</t>
  </si>
  <si>
    <t>37,776.00 − 36,147.96</t>
  </si>
  <si>
    <t>ข.2</t>
  </si>
  <si>
    <t>กำไรขั้นต้นต่อท่าน</t>
  </si>
  <si>
    <t>ข.1 ÷ ก.2</t>
  </si>
  <si>
    <t>ข.3</t>
  </si>
  <si>
    <t>อัตรากำไรขั้นต้นต่อราคาขาย</t>
  </si>
  <si>
    <t>ข.1 ÷ ก.3</t>
  </si>
  <si>
    <t>ค. ฝั่งภาษีซื้อ — ใบกำกับเลขที่ 260827-020</t>
  </si>
  <si>
    <t>ค.1</t>
  </si>
  <si>
    <t>ฐานค่าบริการ (ไม่รวม VAT)</t>
  </si>
  <si>
    <t>ก.8 ÷ (1 + ก.6)</t>
  </si>
  <si>
    <t>1,000.00 ÷ 1.07 = 934.58</t>
  </si>
  <si>
    <t>ค.2</t>
  </si>
  <si>
    <t>ภาษีซื้อ 7%</t>
  </si>
  <si>
    <t>ปัดทศนิยม 2 (ค.1 × ก.6)</t>
  </si>
  <si>
    <t>934.58 × 7% = 65.42</t>
  </si>
  <si>
    <t>ค.3</t>
  </si>
  <si>
    <t>ตรวจ: ค.1 + ค.2 ต้องเท่ากับ ก.8</t>
  </si>
  <si>
    <t>ค.1 + ค.2</t>
  </si>
  <si>
    <t>ต้องได้ 1,000.00</t>
  </si>
  <si>
    <t>ค.4</t>
  </si>
  <si>
    <t>ภาษีหัก ณ ที่จ่าย 3%</t>
  </si>
  <si>
    <t>ปัดทศนิยม 2 (ค.1 × ก.7)</t>
  </si>
  <si>
    <t>934.58 × 3% = 28.04 → นับเป็นต้นทุน</t>
  </si>
  <si>
    <t>ง. ฝั่งภาษีขาย — ใบกำกับเลขที่ IVN2608-0528</t>
  </si>
  <si>
    <t>ง.1</t>
  </si>
  <si>
    <t>ยอดที่นำมาออกใบกำกับภาษีขาย (รวม VAT)</t>
  </si>
  <si>
    <t>ข.1 − ค.4</t>
  </si>
  <si>
    <t>1,628.04 − 28.04 = 1,600.00 พอดี</t>
  </si>
  <si>
    <t>ง.2</t>
  </si>
  <si>
    <t>ปัดทศนิยม 2 (ง.1 ÷ (1 + ก.6))</t>
  </si>
  <si>
    <t>1,600.00 ÷ 1.07 = 1,495.33</t>
  </si>
  <si>
    <t>ง.3</t>
  </si>
  <si>
    <t>ภาษีขาย 7%</t>
  </si>
  <si>
    <t>ปัดทศนิยม 2 (ง.2 × ก.6)</t>
  </si>
  <si>
    <t>1,495.33 × 7% = 104.67 → นับเป็นต้นทุน</t>
  </si>
  <si>
    <t>ง.4</t>
  </si>
  <si>
    <t>ตรวจ: ง.2 + ง.3 ต้องเท่ากับ ง.1</t>
  </si>
  <si>
    <t>ง.2 + ง.3</t>
  </si>
  <si>
    <t>ต้องได้ 1,600.00</t>
  </si>
  <si>
    <t>จ. ต้นทุนอื่น (ช่อง 'ต้นทุนอื่น' = 132.71)</t>
  </si>
  <si>
    <t>จ.1</t>
  </si>
  <si>
    <t>ภาษีขาย 7% (แถวภาษีขาย)</t>
  </si>
  <si>
    <t>จ.2</t>
  </si>
  <si>
    <t>ภาษีหัก ณ ที่จ่าย 3% (แถวภาษีซื้อ)</t>
  </si>
  <si>
    <t>จ.3</t>
  </si>
  <si>
    <t>รวมต้นทุนอื่น</t>
  </si>
  <si>
    <t>จ.1 + จ.2</t>
  </si>
  <si>
    <t>104.67 + 28.04 = 132.71</t>
  </si>
  <si>
    <t>ฉ. กำไรสุทธิ</t>
  </si>
  <si>
    <t>ฉ.1</t>
  </si>
  <si>
    <t>ราคาขายรวม</t>
  </si>
  <si>
    <t>ฉ.2</t>
  </si>
  <si>
    <t>หัก ต้นทุนโฮลเซลล์</t>
  </si>
  <si>
    <t>− ก.4</t>
  </si>
  <si>
    <t>ฉ.3</t>
  </si>
  <si>
    <t>หัก ต้นทุนอื่น</t>
  </si>
  <si>
    <t>− จ.3</t>
  </si>
  <si>
    <t>ฉ.4</t>
  </si>
  <si>
    <t>ฉ.1 + ฉ.2 + ฉ.3</t>
  </si>
  <si>
    <t>ตรงกับ 1,495.33 บนหน้าจอ</t>
  </si>
  <si>
    <t>ฉ.5</t>
  </si>
  <si>
    <t>อัตรากำไรสุทธิต่อราคาขาย</t>
  </si>
  <si>
    <t>ฉ.4 ÷ ก.3</t>
  </si>
  <si>
    <t>ฉ.6</t>
  </si>
  <si>
    <t>ฉ.4 ÷ ก.2</t>
  </si>
  <si>
    <t>ข้อสังเกตสำคัญของสูตร</t>
  </si>
  <si>
    <t>1) ระบบคิดภาษีขาย 7% จาก 'ส่วนต่างกำไร' ไม่ใช่จากราคาทัวร์เต็ม 37,776 บาท (ตัวแทนท่องเที่ยวออกใบกำกับเฉพาะค่าบริการ/คอมมิชชั่น)</t>
  </si>
  <si>
    <t>2) ยอดออกใบกำกับภาษีขาย 1,600.00 บาท = กำไรขั้นต้น 1,628.04 หักภาษีหัก ณ ที่จ่าย 28.04 — เป็นเลขกลมพอดี ซึ่งยืนยันว่าสูตรตามลำดับนี้ถูกต้อง</t>
  </si>
  <si>
    <t>3) 'กำไรสุทธิ 1,495.33' เท่ากับ 'ฐานภาษีขาย 1,495.33' โดยโครงสร้างของสูตร ไม่ใช่ความบังเอิญ</t>
  </si>
  <si>
    <t>4) ภาษีซื้อ 65.42 บาท ไม่ได้ถูกนำมาหักกลบกับภาษีขาย 104.67 ในการคำนวณกำไร (ดูชีต 'ตรวจสอบและข้อสังเกต')</t>
  </si>
  <si>
    <t>รายการต้นทุนภาษี — ถอดสูตรทีละแถว</t>
  </si>
  <si>
    <t>ประเภท</t>
  </si>
  <si>
    <t>เลขที่เอกสาร</t>
  </si>
  <si>
    <t>ค่าบริการ (ฐาน)</t>
  </si>
  <si>
    <t>ยอดรวม VAT</t>
  </si>
  <si>
    <t>ภาษี 7%</t>
  </si>
  <si>
    <t>ยอดที่นับเป็นต้นทุน</t>
  </si>
  <si>
    <t>วิธีคิด</t>
  </si>
  <si>
    <t>ภาษีขาย</t>
  </si>
  <si>
    <t>IVN2608-0528</t>
  </si>
  <si>
    <t>ฐาน = (กำไรขั้นต้น 1,628.04 − WHT 28.04) ÷ 1.07 = 1,495.33 ; VAT = 1,495.33 × 7% = 104.67 ; นับ VAT เป็นต้นทุน</t>
  </si>
  <si>
    <t>ภาษีซื้อ</t>
  </si>
  <si>
    <t>260827-020</t>
  </si>
  <si>
    <t>ฐาน = 1,000.00 ÷ 1.07 = 934.58 ; VAT = 65.42 ; WHT = 934.58 × 3% = 28.04 ; นับ WHT เป็นต้นทุน</t>
  </si>
  <si>
    <t>รวม</t>
  </si>
  <si>
    <t>104.67 + 28.04 = 132.71 → ไปเข้าช่อง 'ต้นทุนอื่น' ในกล่องสรุปกำไร</t>
  </si>
  <si>
    <t>ภาระภาษีจริงที่ต้องดูเพิ่ม (ไม่ได้แสดงบนหน้าจอ)</t>
  </si>
  <si>
    <t>ภาษีขาย (Output VAT)</t>
  </si>
  <si>
    <t>ยอดที่ต้องนำส่งกรมสรรพากร</t>
  </si>
  <si>
    <t>หัก ภาษีซื้อ (Input VAT)</t>
  </si>
  <si>
    <t>เครดิตภาษีซื้อ หากใบกำกับถูกต้องและเป็นค่าใช้จ่ายของกิจการ</t>
  </si>
  <si>
    <t>VAT สุทธิที่ต้องนำส่ง</t>
  </si>
  <si>
    <t>104.67 − 65.42 = 39.25 บาท</t>
  </si>
  <si>
    <t>กระแสเงินสด — รับจากลูกค้า / จ่ายโฮลเซลล์</t>
  </si>
  <si>
    <t>อ้างอิง / วันที่</t>
  </si>
  <si>
    <t>รับเข้า (บาท)</t>
  </si>
  <si>
    <t>จ่ายออก (บาท)</t>
  </si>
  <si>
    <t>รับชำระจากลูกค้า</t>
  </si>
  <si>
    <t>กำหนดชำระเต็ม 27 ส.ค. 2569</t>
  </si>
  <si>
    <t>สถานะบนหน้าจอ: ชำระเงินครบแล้ว (มัดจำ 0.00 บาท)</t>
  </si>
  <si>
    <t>จ่ายค่าทัวร์ให้โฮลเซลล์</t>
  </si>
  <si>
    <t>WS26080615 · 28/08/2026 11:52</t>
  </si>
  <si>
    <t>ประเภท: ชำระเงินโอน · แนบสลิป WS26080615_20260828.jpg</t>
  </si>
  <si>
    <t>เงินสดคงเหลือในมือ (ก่อนภาษี)</t>
  </si>
  <si>
    <t>37,776.00 − 36,147.96 = 1,628.04 = กำไรขั้นต้น</t>
  </si>
  <si>
    <t>หัก ต้นทุนภาษี (VAT + WHT)</t>
  </si>
  <si>
    <t>เหลือสุทธิ</t>
  </si>
  <si>
    <t>1,495.33 บาท = กำไรสุทธิ</t>
  </si>
  <si>
    <t>0.00 บาท — ปิดยอดครบ</t>
  </si>
  <si>
    <t>ตรวจสอบตัวเลข + ประเด็นที่ควรตรวจกับทีม</t>
  </si>
  <si>
    <t>รายการตรวจสอบ</t>
  </si>
  <si>
    <t>ค่าที่คำนวณได้</t>
  </si>
  <si>
    <t>ค่าที่หน้าจอแสดง</t>
  </si>
  <si>
    <t>ผล</t>
  </si>
  <si>
    <t>ตรงกับที่หน้าจอแสดง</t>
  </si>
  <si>
    <t>กำไรขั้นต้น (ขาย − โฮลเซลล์)</t>
  </si>
  <si>
    <t>ไม่ได้แสดงบนหน้าจอ แต่เป็นตัวตั้งของการคิดภาษี</t>
  </si>
  <si>
    <t>ฐานภาษีขาย</t>
  </si>
  <si>
    <t>ตรงกับคอลัมน์ 'ค่าบริการ' แถวภาษีขาย</t>
  </si>
  <si>
    <t>ตรงกับคอลัมน์ 'ภาษี 7%' แถวภาษีขาย</t>
  </si>
  <si>
    <t>ฐานภาษีซื้อ</t>
  </si>
  <si>
    <t>ตรงกับคอลัมน์ 'ค่าบริการ' แถวภาษีซื้อ</t>
  </si>
  <si>
    <t>ตรงกับคอลัมน์ 'ภาษี 7%' แถวภาษีซื้อ</t>
  </si>
  <si>
    <t>ตรงกับคอลัมน์ 'ภาษีหัก' แถวภาษีซื้อ</t>
  </si>
  <si>
    <t>ตรงกับยอดรวมท้ายตารางต้นทุน และช่อง 'ต้นทุนอื่น'</t>
  </si>
  <si>
    <t>ตรงกับช่องกำไรสุทธิในกล่องสรุปกำไร</t>
  </si>
  <si>
    <t>ตรงกับตารางรายการชำระเงินโฮลเซลล์</t>
  </si>
  <si>
    <t>ประเด็นที่ควรตรวจ</t>
  </si>
  <si>
    <t>ประเด็น</t>
  </si>
  <si>
    <t>ระดับ</t>
  </si>
  <si>
    <t>ตัวเลข</t>
  </si>
  <si>
    <t>สิ่งที่ควรทำ</t>
  </si>
  <si>
    <t>หัวตาราง 'รายการต้นทุน ภาษีมูลค่าเพิ่ม VAT + หัก ณ ที่จ่าย : 104.67 บาท' ไม่ตรงกับยอดรวมท้ายตาราง 132.71 บาท</t>
  </si>
  <si>
    <t>สูง</t>
  </si>
  <si>
    <t>ต่างกัน 28.04</t>
  </si>
  <si>
    <t>ตรวจสูตรที่หัวตารางในโค้ด — ดูเหมือนรวมเฉพาะแถวภาษีขาย ไม่ได้บวกภาษีหัก ณ ที่จ่ายของแถวภาษีซื้อ</t>
  </si>
  <si>
    <t>ภาษีซื้อ 65.42 บาท ไม่ถูกนำมาหักกลบภาษีขาย 104.67 บาท ในการคิดกำไร</t>
  </si>
  <si>
    <t>กระทบ 65.42</t>
  </si>
  <si>
    <t>ถ้าเครดิตภาษีซื้อได้ VAT ที่นำส่งจริงคือ 39.25 บาท และกำไรสุทธิควรเป็น 1,560.75 บาท — ตกลงนโยบายบัญชีให้ชัดก่อนแก้สูตร</t>
  </si>
  <si>
    <t>ค่าบริการภาษีซื้อ 934.58 บาท ถูกนับเป็นต้นทุนแค่ 28.04 บาท (เฉพาะ WHT) ตัวค่าบริการเองไม่ถูกหักจากกำไร</t>
  </si>
  <si>
    <t>กระทบ 934.58</t>
  </si>
  <si>
    <t>ถ้ารายการ 1,000 บาทนี้เป็นค่าใช้จ่ายจริงของงานนี้ กำไรสุทธิจะเหลือราว 560.75 บาท — ต้องยืนยันว่ารายจ่ายนี้รวมอยู่ในต้นทุนโฮลเซลล์แล้วหรือยัง</t>
  </si>
  <si>
    <t>กำหนดชำระเต็มจำนวน (27 ส.ค. 2569) มาก่อนกำหนดชำระมัดจำ (28 ส.ค. 2569)</t>
  </si>
  <si>
    <t>กลาง</t>
  </si>
  <si>
    <t>—</t>
  </si>
  <si>
    <t>ตรวจ logic การตั้งวันครบกำหนดเมื่อยอดมัดจำเป็น 0</t>
  </si>
  <si>
    <t>ป้าย 'InputTax' ในบรรทัดดีบักเก็บค่าต้นทุนโฮลเซลล์ 36,147.96 ไม่ใช่ภาษีซื้อ</t>
  </si>
  <si>
    <t>เปลี่ยนชื่อตัวแปร/ป้ายให้ตรงความหมาย กันสับสนตอนตรวจบัญชี</t>
  </si>
  <si>
    <t>ระบบใช้ พ.ศ. กับวันที่ในเอกสาร แต่ใช้ ค.ศ. กับ timestamp (2569 vs 2026)</t>
  </si>
  <si>
    <t>ต่ำ</t>
  </si>
  <si>
    <t>รวมรูปแบบวันที่ให้เป็นมาตรฐานเดียว หรืออย่างน้อยกำกับหน่วยปีให้ชัด</t>
  </si>
  <si>
    <t>แถวภาษีขายยังไม่ได้แนบไฟล์เอกสาร (ช่อง Choose File ว่าง)</t>
  </si>
  <si>
    <t>แนบไฟล์ใบกำกับ IVN2608-0528 ให้ครบก่อนปิดงาน</t>
  </si>
  <si>
    <t>เลขผู้เสียภาษีและที่อยู่ลูกค้าเว้นว่าง</t>
  </si>
  <si>
    <t>ถ้าลูกค้าต้องการใบกำกับภาษีเต็มรูป ต้องเก็บข้อมูลนี้ก่อนออกเอกสาร</t>
  </si>
  <si>
    <t>ตัวเลขทั้งหมดอ่านจากภาพหน้าจอที่อัปโหลด ไม่ได้ดึงจากฐานข้อมูล — ข้อความภาษาไทยบางจุด (ชื่อลูกค้า ชื่อโฮลเซลล์) ความละเอียดต่ำ ควรยืนยันกับระบบก่อนใช้อ้างอิง</t>
  </si>
  <si>
    <t xml:space="preserve">อธิบาย รายการต้นทุนเพิ่ม  </t>
  </si>
  <si>
    <t>ต้นทุนส่วนนี้ประกอบไปด้วย</t>
  </si>
  <si>
    <t>3.ต้นทุนอื่นๆ เช่น ค่าพนักงานไปส่งลูกค้าสนามบิน ,ค่าซื้อของแจก,ค่าธรรมเนียมรูดบัตรที่จ่ายแทนลูกค้า ถือว่าเป็นต้นทุน</t>
  </si>
  <si>
    <t>4. ภาษีหัก ณ ที่จ่าย จะเป็นต้นทุน เมื่อมีการออกเอกสารหัก ซึ่งบางโฮลเซลล์จะไม่ได้หัก เพราะไม่ได้เข้าระบบภาษี ส่วนนี้หักได้บางบริษัท</t>
  </si>
  <si>
    <t>2. ต้นทุนภาษีซื้อ (ฝั่งของโฮลเซลล์) หากเราได้ใบกำกับภาษีโฮลเซลล์มา จะถือว่าเคลมคืนได้ ก็จะเอายอดส่วนนี้มาลบกับภาษีขายของบริษัท</t>
  </si>
  <si>
    <t>1. ยอดหัก ณ ที่จ่าย (ลูกค้าหักเรา จ่ายเงินไม่ครบ)   หากลูกค้าหักเรา และไม่มีใบหักมาให้ ส่วนนี้จะถือว่าเป็นต้นทุน แต่ถ้ามีมาแนบจะไม่เอาไปคิด</t>
  </si>
  <si>
    <t>1. ต้นทุนภาษีขาย (ฝั่งของเรา)   คิดภาษีจากกำไร</t>
  </si>
  <si>
    <t>N/A</t>
  </si>
  <si>
    <t>หัก ณ ที่จ่าย (ลูกค้า หักเรา)</t>
  </si>
  <si>
    <t>หัก ณ ที่จ่าย (เราหัก โฮลเซลล์)</t>
  </si>
  <si>
    <t>ต้นทุนอื่นๆ</t>
  </si>
  <si>
    <t>ยอดรวมทั้งหมด</t>
  </si>
  <si>
    <t>เอาช่องยอดรวมมา+กัน</t>
  </si>
  <si>
    <t>หากมีไฟล์แนบจะเอา (ภาษีซื้อ-ภาษีขาย)+ยอดหัก ณ ที่จ่าย ที่ลูกค้าหักเรา จะได้ยอดรวม แต่ถ้าไม่มีไฟล์แนบ จะเอาแค่ยอดภาษีขาย+ยอดหัก ณ ที่จ่ายที่ลูกค้าหักเรา ได้ยอดรวม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</si>
</sst>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21" x14ac:knownFonts="1">
    <font>
      <sz val="11"/>
      <color theme="1"/>
      <name val="Calibri"/>
      <family val="2"/>
      <charset val="1"/>
    </font>
    <font>
      <b/>
      <sz val="13"/>
      <color rgb="FFFFFFFF"/>
      <name val="Tahoma"/>
      <charset val="1"/>
    </font>
    <font>
      <b/>
      <sz val="10"/>
      <color rgb="FFFFFFFF"/>
      <name val="Tahoma"/>
      <charset val="1"/>
    </font>
    <font>
      <sz val="10"/>
      <name val="Tahoma"/>
      <charset val="1"/>
    </font>
    <font>
      <sz val="10"/>
      <color rgb="FF008000"/>
      <name val="Tahoma"/>
      <charset val="1"/>
    </font>
    <font>
      <sz val="9"/>
      <color rgb="FF555555"/>
      <name val="Tahoma"/>
      <charset val="1"/>
    </font>
    <font>
      <b/>
      <sz val="10"/>
      <name val="Tahoma"/>
      <charset val="1"/>
    </font>
    <font>
      <b/>
      <sz val="10"/>
      <color rgb="FF008000"/>
      <name val="Tahoma"/>
      <charset val="1"/>
    </font>
    <font>
      <b/>
      <sz val="11"/>
      <color rgb="FF4B2E83"/>
      <name val="Tahoma"/>
      <charset val="1"/>
    </font>
    <font>
      <b/>
      <sz val="11"/>
      <name val="Tahoma"/>
      <charset val="1"/>
    </font>
    <font>
      <i/>
      <sz val="9"/>
      <color rgb="FF555555"/>
      <name val="Tahoma"/>
      <charset val="1"/>
    </font>
    <font>
      <i/>
      <sz val="9"/>
      <color rgb="FFB00020"/>
      <name val="Tahoma"/>
      <charset val="1"/>
    </font>
    <font>
      <b/>
      <sz val="10"/>
      <color rgb="FF4B2E83"/>
      <name val="Tahoma"/>
      <charset val="1"/>
    </font>
    <font>
      <sz val="10"/>
      <color rgb="FF000000"/>
      <name val="Tahoma"/>
      <charset val="1"/>
    </font>
    <font>
      <sz val="10"/>
      <color rgb="FF0000FF"/>
      <name val="Tahoma"/>
      <charset val="1"/>
    </font>
    <font>
      <b/>
      <sz val="10"/>
      <color rgb="FFB00020"/>
      <name val="Tahoma"/>
      <charset val="1"/>
    </font>
    <font>
      <sz val="9"/>
      <color rgb="FF000000"/>
      <name val="Tahoma"/>
      <charset val="1"/>
    </font>
    <font>
      <b/>
      <sz val="12"/>
      <color rgb="FFFFFFFF"/>
      <name val="Tahoma"/>
      <charset val="1"/>
    </font>
    <font>
      <b/>
      <sz val="10"/>
      <color rgb="FFE07800"/>
      <name val="Tahoma"/>
      <charset val="1"/>
    </font>
    <font>
      <b/>
      <sz val="10"/>
      <color rgb="FF555555"/>
      <name val="Tahoma"/>
      <charset val="1"/>
    </font>
    <font>
      <sz val="11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4B2E83"/>
        <bgColor rgb="FF555555"/>
      </patternFill>
    </fill>
    <fill>
      <patternFill patternType="solid">
        <fgColor rgb="FF7B5EA7"/>
        <bgColor rgb="FF808080"/>
      </patternFill>
    </fill>
    <fill>
      <patternFill patternType="solid">
        <fgColor rgb="FFF3EFFA"/>
        <bgColor rgb="FFEDE7F6"/>
      </patternFill>
    </fill>
    <fill>
      <patternFill patternType="solid">
        <fgColor rgb="FFEDE7F6"/>
        <bgColor rgb="FFF3EFF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0A8C8"/>
      </left>
      <right style="thin">
        <color rgb="FFB0A8C8"/>
      </right>
      <top style="thin">
        <color rgb="FFB0A8C8"/>
      </top>
      <bottom style="thin">
        <color rgb="FFB0A8C8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1" xfId="0" applyFont="1" applyBorder="1"/>
    <xf numFmtId="0" fontId="3" fillId="0" borderId="0" xfId="0" applyFont="1"/>
    <xf numFmtId="0" fontId="5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164" fontId="4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164" fontId="7" fillId="4" borderId="1" xfId="0" applyNumberFormat="1" applyFont="1" applyFill="1" applyBorder="1" applyAlignment="1">
      <alignment vertical="top"/>
    </xf>
    <xf numFmtId="0" fontId="5" fillId="4" borderId="1" xfId="0" applyFont="1" applyFill="1" applyBorder="1" applyAlignment="1">
      <alignment vertical="top" wrapText="1"/>
    </xf>
    <xf numFmtId="10" fontId="4" fillId="0" borderId="1" xfId="0" applyNumberFormat="1" applyFont="1" applyBorder="1" applyAlignment="1">
      <alignment vertical="top"/>
    </xf>
    <xf numFmtId="0" fontId="8" fillId="0" borderId="0" xfId="0" applyFont="1"/>
    <xf numFmtId="0" fontId="10" fillId="0" borderId="0" xfId="0" applyFont="1"/>
    <xf numFmtId="0" fontId="1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2" fillId="5" borderId="1" xfId="0" applyFont="1" applyFill="1" applyBorder="1"/>
    <xf numFmtId="0" fontId="0" fillId="5" borderId="1" xfId="0" applyFill="1" applyBorder="1"/>
    <xf numFmtId="0" fontId="6" fillId="0" borderId="1" xfId="0" applyFont="1" applyBorder="1" applyAlignment="1">
      <alignment vertical="top"/>
    </xf>
    <xf numFmtId="164" fontId="14" fillId="0" borderId="1" xfId="0" applyNumberFormat="1" applyFont="1" applyBorder="1" applyAlignment="1">
      <alignment vertical="top"/>
    </xf>
    <xf numFmtId="1" fontId="14" fillId="0" borderId="1" xfId="0" applyNumberFormat="1" applyFont="1" applyBorder="1" applyAlignment="1">
      <alignment vertical="top"/>
    </xf>
    <xf numFmtId="164" fontId="13" fillId="0" borderId="1" xfId="0" applyNumberFormat="1" applyFont="1" applyBorder="1" applyAlignment="1">
      <alignment vertical="top"/>
    </xf>
    <xf numFmtId="10" fontId="14" fillId="0" borderId="1" xfId="0" applyNumberFormat="1" applyFont="1" applyBorder="1" applyAlignment="1">
      <alignment vertical="top"/>
    </xf>
    <xf numFmtId="0" fontId="6" fillId="4" borderId="1" xfId="0" applyFont="1" applyFill="1" applyBorder="1" applyAlignment="1">
      <alignment vertical="top" wrapText="1"/>
    </xf>
    <xf numFmtId="164" fontId="6" fillId="4" borderId="1" xfId="0" applyNumberFormat="1" applyFont="1" applyFill="1" applyBorder="1" applyAlignment="1">
      <alignment vertical="top"/>
    </xf>
    <xf numFmtId="10" fontId="13" fillId="0" borderId="1" xfId="0" applyNumberFormat="1" applyFont="1" applyBorder="1" applyAlignment="1">
      <alignment vertical="top"/>
    </xf>
    <xf numFmtId="0" fontId="15" fillId="0" borderId="0" xfId="0" applyFont="1"/>
    <xf numFmtId="0" fontId="5" fillId="0" borderId="0" xfId="0" applyFont="1"/>
    <xf numFmtId="0" fontId="13" fillId="0" borderId="1" xfId="0" applyFont="1" applyBorder="1" applyAlignment="1">
      <alignment vertical="top"/>
    </xf>
    <xf numFmtId="0" fontId="16" fillId="0" borderId="1" xfId="0" applyFont="1" applyBorder="1" applyAlignment="1">
      <alignment vertical="top" wrapText="1"/>
    </xf>
    <xf numFmtId="0" fontId="0" fillId="4" borderId="1" xfId="0" applyFill="1" applyBorder="1"/>
    <xf numFmtId="0" fontId="6" fillId="4" borderId="1" xfId="0" applyFont="1" applyFill="1" applyBorder="1"/>
    <xf numFmtId="164" fontId="6" fillId="4" borderId="1" xfId="0" applyNumberFormat="1" applyFont="1" applyFill="1" applyBorder="1"/>
    <xf numFmtId="0" fontId="5" fillId="4" borderId="1" xfId="0" applyFont="1" applyFill="1" applyBorder="1"/>
    <xf numFmtId="0" fontId="3" fillId="0" borderId="0" xfId="0" applyFont="1"/>
    <xf numFmtId="164" fontId="4" fillId="0" borderId="0" xfId="0" applyNumberFormat="1" applyFont="1"/>
    <xf numFmtId="164" fontId="7" fillId="0" borderId="0" xfId="0" applyNumberFormat="1" applyFont="1"/>
    <xf numFmtId="0" fontId="6" fillId="0" borderId="0" xfId="0" applyFont="1"/>
    <xf numFmtId="0" fontId="6" fillId="0" borderId="1" xfId="0" applyFont="1" applyBorder="1" applyAlignment="1">
      <alignment horizontal="center"/>
    </xf>
    <xf numFmtId="0" fontId="17" fillId="2" borderId="0" xfId="0" applyFont="1" applyFill="1"/>
    <xf numFmtId="0" fontId="3" fillId="0" borderId="1" xfId="0" applyFont="1" applyBorder="1"/>
    <xf numFmtId="0" fontId="15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20" fillId="0" borderId="0" xfId="0" applyFont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B0A8C8"/>
      <rgbColor rgb="FF808080"/>
      <rgbColor rgb="FF9999FF"/>
      <rgbColor rgb="FF993366"/>
      <rgbColor rgb="FFF3EFFA"/>
      <rgbColor rgb="FFEDE7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800"/>
      <rgbColor rgb="FF7B5EA7"/>
      <rgbColor rgb="FF969696"/>
      <rgbColor rgb="FF003366"/>
      <rgbColor rgb="FF339966"/>
      <rgbColor rgb="FF003300"/>
      <rgbColor rgb="FF333300"/>
      <rgbColor rgb="FF993300"/>
      <rgbColor rgb="FF993366"/>
      <rgbColor rgb="FF4B2E83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348177</xdr:colOff>
      <xdr:row>21</xdr:row>
      <xdr:rowOff>133349</xdr:rowOff>
    </xdr:from>
    <xdr:to>
      <xdr:col>6</xdr:col>
      <xdr:colOff>464746</xdr:colOff>
      <xdr:row>31</xdr:row>
      <xdr:rowOff>18686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FC2270-5E10-DABC-CD01-9EC97AB09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177" y="4438649"/>
          <a:ext cx="9755869" cy="1790337"/>
        </a:xfrm>
        <a:prstGeom prst="rect">
          <a:avLst/>
        </a:prstGeom>
      </xdr:spPr>
    </xdr:pic>
    <xdr:clientData/>
  </xdr:twoCellAnchor>
  <xdr:twoCellAnchor editAs="oneCell">
    <xdr:from>
      <xdr:col>0</xdr:col>
      <xdr:colOff>289168</xdr:colOff>
      <xdr:row>36</xdr:row>
      <xdr:rowOff>161925</xdr:rowOff>
    </xdr:from>
    <xdr:to>
      <xdr:col>7</xdr:col>
      <xdr:colOff>209550</xdr:colOff>
      <xdr:row>45</xdr:row>
      <xdr:rowOff>182895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0FEF2C-25DA-987B-BB79-E9277E479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9168" y="7324725"/>
          <a:ext cx="10140707" cy="173547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285749</xdr:colOff>
      <xdr:row>50</xdr:row>
      <xdr:rowOff>130152</xdr:rowOff>
    </xdr:from>
    <xdr:to>
      <xdr:col>7</xdr:col>
      <xdr:colOff>312331</xdr:colOff>
      <xdr:row>58</xdr:row>
      <xdr:rowOff>142575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107EEE-9CEB-BFEF-6670-253699913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49" y="9959952"/>
          <a:ext cx="10246907" cy="1536423"/>
        </a:xfrm>
        <a:prstGeom prst="rect">
          <a:avLst/>
        </a:prstGeom>
      </xdr:spPr>
    </xdr:pic>
    <xdr:clientData/>
  </xdr:twoCellAnchor>
  <xdr:twoCellAnchor editAs="oneCell">
    <xdr:from>
      <xdr:col>0</xdr:col>
      <xdr:colOff>268092</xdr:colOff>
      <xdr:row>68</xdr:row>
      <xdr:rowOff>38100</xdr:rowOff>
    </xdr:from>
    <xdr:to>
      <xdr:col>8</xdr:col>
      <xdr:colOff>579031</xdr:colOff>
      <xdr:row>80</xdr:row>
      <xdr:rowOff>113876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43530C-D572-5DB9-A90A-0F7997670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8092" y="13963650"/>
          <a:ext cx="11112289" cy="2361776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1047750</xdr:colOff>
      <xdr:row>139</xdr:row>
      <xdr:rowOff>133350</xdr:rowOff>
    </xdr:from>
    <xdr:to>
      <xdr:col>3</xdr:col>
      <xdr:colOff>2104383</xdr:colOff>
      <xdr:row>151</xdr:row>
      <xdr:rowOff>85445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CA601A5-CA10-A909-B557-C357B5DC2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47800" y="17678400"/>
          <a:ext cx="5133333" cy="22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88</xdr:row>
      <xdr:rowOff>180975</xdr:rowOff>
    </xdr:from>
    <xdr:to>
      <xdr:col>3</xdr:col>
      <xdr:colOff>2570742</xdr:colOff>
      <xdr:row>130</xdr:row>
      <xdr:rowOff>141451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29AF725-6893-C31C-13D6-D78948485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3875" y="17726025"/>
          <a:ext cx="6523617" cy="7961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8"/>
  <sheetViews>
    <sheetView showGridLines="0" tabSelected="1" zoomScaleNormal="100" workbookViewId="0">
      <pane ySplit="3" topLeftCell="A66" activePane="bottomLeft" state="frozen"/>
      <selection pane="bottomLeft" activeCell="L104" sqref="L104"/>
    </sheetView>
  </sheetViews>
  <sheetFormatPr defaultColWidth="8.7109375" defaultRowHeight="15" x14ac:dyDescent="0.25"/>
  <cols>
    <col min="1" max="1" width="6" customWidth="1"/>
    <col min="2" max="2" width="40" customWidth="1"/>
    <col min="3" max="3" width="21.140625" customWidth="1"/>
    <col min="4" max="4" width="60" customWidth="1"/>
  </cols>
  <sheetData>
    <row r="1" spans="1:4" ht="24" customHeight="1" x14ac:dyDescent="0.25">
      <c r="A1" s="7" t="s">
        <v>0</v>
      </c>
      <c r="B1" s="8"/>
      <c r="C1" s="8"/>
      <c r="D1" s="8"/>
    </row>
    <row r="3" spans="1:4" ht="30" customHeight="1" x14ac:dyDescent="0.25">
      <c r="A3" s="9" t="s">
        <v>1</v>
      </c>
      <c r="B3" s="9" t="s">
        <v>2</v>
      </c>
      <c r="C3" s="9" t="s">
        <v>3</v>
      </c>
      <c r="D3" s="9" t="s">
        <v>4</v>
      </c>
    </row>
    <row r="4" spans="1:4" x14ac:dyDescent="0.25">
      <c r="A4" s="10" t="s">
        <v>5</v>
      </c>
      <c r="B4" s="10" t="s">
        <v>6</v>
      </c>
      <c r="C4" s="11">
        <f>วิธีคิดทีละขั้น!D9</f>
        <v>37776</v>
      </c>
      <c r="D4" s="12" t="s">
        <v>7</v>
      </c>
    </row>
    <row r="5" spans="1:4" x14ac:dyDescent="0.25">
      <c r="A5" s="10" t="s">
        <v>8</v>
      </c>
      <c r="B5" s="10" t="s">
        <v>9</v>
      </c>
      <c r="C5" s="11">
        <f>วิธีคิดทีละขั้น!D10</f>
        <v>36147.96</v>
      </c>
      <c r="D5" s="12" t="s">
        <v>10</v>
      </c>
    </row>
    <row r="6" spans="1:4" x14ac:dyDescent="0.25">
      <c r="A6" s="10" t="s">
        <v>11</v>
      </c>
      <c r="B6" s="10" t="s">
        <v>12</v>
      </c>
      <c r="C6" s="11">
        <f>การชำระเงิน!E5</f>
        <v>36147.96</v>
      </c>
      <c r="D6" s="12" t="s">
        <v>13</v>
      </c>
    </row>
    <row r="7" spans="1:4" x14ac:dyDescent="0.25">
      <c r="A7" s="10" t="s">
        <v>14</v>
      </c>
      <c r="B7" s="10" t="s">
        <v>15</v>
      </c>
      <c r="C7" s="11">
        <f>วิธีคิดทีละขั้น!D10-การชำระเงิน!E5</f>
        <v>0</v>
      </c>
      <c r="D7" s="12" t="s">
        <v>16</v>
      </c>
    </row>
    <row r="8" spans="1:4" x14ac:dyDescent="0.25">
      <c r="A8" s="10" t="s">
        <v>17</v>
      </c>
      <c r="B8" s="10" t="s">
        <v>18</v>
      </c>
      <c r="C8" s="11">
        <f>วิธีคิดทีละขั้น!D32</f>
        <v>132.71</v>
      </c>
      <c r="D8" s="12" t="s">
        <v>19</v>
      </c>
    </row>
    <row r="9" spans="1:4" x14ac:dyDescent="0.25">
      <c r="A9" s="13" t="s">
        <v>20</v>
      </c>
      <c r="B9" s="14" t="s">
        <v>21</v>
      </c>
      <c r="C9" s="15">
        <f>วิธีคิดทีละขั้น!D16</f>
        <v>1628.0400000000009</v>
      </c>
      <c r="D9" s="16" t="s">
        <v>22</v>
      </c>
    </row>
    <row r="10" spans="1:4" x14ac:dyDescent="0.25">
      <c r="A10" s="13" t="s">
        <v>23</v>
      </c>
      <c r="B10" s="14" t="s">
        <v>24</v>
      </c>
      <c r="C10" s="15">
        <f>วิธีคิดทีละขั้น!D37</f>
        <v>1495.3300000000008</v>
      </c>
      <c r="D10" s="16" t="s">
        <v>25</v>
      </c>
    </row>
    <row r="11" spans="1:4" x14ac:dyDescent="0.25">
      <c r="A11" s="10" t="s">
        <v>26</v>
      </c>
      <c r="B11" s="10" t="s">
        <v>27</v>
      </c>
      <c r="C11" s="17">
        <f>วิธีคิดทีละขั้น!D38</f>
        <v>3.9584127488352418E-2</v>
      </c>
      <c r="D11" s="12" t="s">
        <v>28</v>
      </c>
    </row>
    <row r="12" spans="1:4" x14ac:dyDescent="0.25">
      <c r="A12" s="10" t="s">
        <v>29</v>
      </c>
      <c r="B12" s="10" t="s">
        <v>30</v>
      </c>
      <c r="C12" s="11">
        <f>วิธีคิดทีละขั้น!D39</f>
        <v>747.66500000000042</v>
      </c>
      <c r="D12" s="12" t="s">
        <v>31</v>
      </c>
    </row>
    <row r="14" spans="1:4" x14ac:dyDescent="0.25">
      <c r="B14" s="18" t="s">
        <v>32</v>
      </c>
    </row>
    <row r="15" spans="1:4" x14ac:dyDescent="0.25">
      <c r="B15" s="6" t="s">
        <v>33</v>
      </c>
      <c r="C15" s="6"/>
      <c r="D15" s="6"/>
    </row>
    <row r="17" spans="2:4" x14ac:dyDescent="0.25">
      <c r="B17" s="5"/>
      <c r="C17" s="5"/>
      <c r="D17" s="5"/>
    </row>
    <row r="18" spans="2:4" x14ac:dyDescent="0.25">
      <c r="B18" s="4"/>
      <c r="C18" s="4"/>
      <c r="D18" s="4"/>
    </row>
    <row r="19" spans="2:4" x14ac:dyDescent="0.25">
      <c r="B19" s="53"/>
    </row>
    <row r="21" spans="2:4" x14ac:dyDescent="0.25">
      <c r="B21" s="10" t="s">
        <v>5</v>
      </c>
      <c r="C21" s="10" t="s">
        <v>6</v>
      </c>
    </row>
    <row r="36" spans="2:3" x14ac:dyDescent="0.25">
      <c r="B36" s="10" t="s">
        <v>8</v>
      </c>
      <c r="C36" s="10" t="s">
        <v>9</v>
      </c>
    </row>
    <row r="49" spans="2:5" x14ac:dyDescent="0.25">
      <c r="B49" s="10" t="s">
        <v>11</v>
      </c>
      <c r="C49" s="10" t="s">
        <v>12</v>
      </c>
    </row>
    <row r="63" spans="2:5" ht="67.5" x14ac:dyDescent="0.25">
      <c r="B63" s="10" t="s">
        <v>14</v>
      </c>
      <c r="C63" s="10" t="s">
        <v>15</v>
      </c>
      <c r="D63" s="11">
        <f>วิธีคิดทีละขั้น!E66-การชำระเงิน!F61</f>
        <v>0</v>
      </c>
      <c r="E63" s="12" t="s">
        <v>16</v>
      </c>
    </row>
    <row r="67" spans="2:4" x14ac:dyDescent="0.25">
      <c r="B67" s="10" t="s">
        <v>17</v>
      </c>
      <c r="C67" s="10" t="s">
        <v>18</v>
      </c>
      <c r="D67" s="11">
        <f>วิธีคิดทีละขั้น!E91</f>
        <v>0</v>
      </c>
    </row>
    <row r="82" spans="2:13" x14ac:dyDescent="0.25">
      <c r="B82" t="s">
        <v>291</v>
      </c>
    </row>
    <row r="83" spans="2:13" x14ac:dyDescent="0.25">
      <c r="B83" t="s">
        <v>292</v>
      </c>
    </row>
    <row r="84" spans="2:13" x14ac:dyDescent="0.25">
      <c r="B84" t="s">
        <v>296</v>
      </c>
    </row>
    <row r="85" spans="2:13" x14ac:dyDescent="0.25">
      <c r="B85" t="s">
        <v>297</v>
      </c>
    </row>
    <row r="86" spans="2:13" x14ac:dyDescent="0.25">
      <c r="B86" t="s">
        <v>295</v>
      </c>
    </row>
    <row r="87" spans="2:13" x14ac:dyDescent="0.25">
      <c r="B87" t="s">
        <v>293</v>
      </c>
    </row>
    <row r="88" spans="2:13" x14ac:dyDescent="0.25">
      <c r="B88" t="s">
        <v>294</v>
      </c>
    </row>
    <row r="90" spans="2:13" x14ac:dyDescent="0.25">
      <c r="L90" t="s">
        <v>219</v>
      </c>
    </row>
    <row r="91" spans="2:13" x14ac:dyDescent="0.25">
      <c r="E91" t="s">
        <v>299</v>
      </c>
      <c r="J91" t="s">
        <v>298</v>
      </c>
    </row>
    <row r="92" spans="2:13" x14ac:dyDescent="0.25">
      <c r="E92" t="s">
        <v>213</v>
      </c>
      <c r="J92">
        <v>104.67</v>
      </c>
      <c r="L92" s="54">
        <v>104.67</v>
      </c>
      <c r="M92" s="55" t="s">
        <v>304</v>
      </c>
    </row>
    <row r="93" spans="2:13" x14ac:dyDescent="0.25">
      <c r="E93" t="s">
        <v>216</v>
      </c>
      <c r="I93">
        <v>65.42</v>
      </c>
    </row>
    <row r="94" spans="2:13" x14ac:dyDescent="0.25">
      <c r="E94" t="s">
        <v>300</v>
      </c>
      <c r="J94">
        <v>28.04</v>
      </c>
      <c r="L94">
        <v>28.04</v>
      </c>
    </row>
    <row r="95" spans="2:13" x14ac:dyDescent="0.25">
      <c r="E95" t="s">
        <v>301</v>
      </c>
      <c r="J95">
        <v>0</v>
      </c>
      <c r="L95">
        <v>0</v>
      </c>
    </row>
    <row r="98" spans="9:12" x14ac:dyDescent="0.25">
      <c r="I98" t="s">
        <v>302</v>
      </c>
      <c r="L98" t="s">
        <v>303</v>
      </c>
    </row>
    <row r="137" spans="2:4" x14ac:dyDescent="0.25">
      <c r="B137" s="13" t="s">
        <v>20</v>
      </c>
      <c r="C137" s="14" t="s">
        <v>21</v>
      </c>
      <c r="D137" s="15">
        <f>วิธีคิดทีละขั้น!E92</f>
        <v>0</v>
      </c>
    </row>
    <row r="138" spans="2:4" x14ac:dyDescent="0.25">
      <c r="B138" s="13" t="s">
        <v>23</v>
      </c>
      <c r="C138" s="14" t="s">
        <v>24</v>
      </c>
      <c r="D138" s="15">
        <f>วิธีคิดทีละขั้น!E113</f>
        <v>0</v>
      </c>
    </row>
  </sheetData>
  <mergeCells count="3">
    <mergeCell ref="B15:D15"/>
    <mergeCell ref="B17:D17"/>
    <mergeCell ref="B18:D1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2" width="62" customWidth="1"/>
    <col min="3" max="3" width="40" customWidth="1"/>
  </cols>
  <sheetData>
    <row r="1" spans="1:3" ht="24" customHeight="1" x14ac:dyDescent="0.25">
      <c r="A1" s="7" t="s">
        <v>34</v>
      </c>
      <c r="B1" s="8"/>
      <c r="C1" s="8"/>
    </row>
    <row r="3" spans="1:3" ht="30" customHeight="1" x14ac:dyDescent="0.25">
      <c r="A3" s="9" t="s">
        <v>35</v>
      </c>
      <c r="B3" s="9" t="s">
        <v>36</v>
      </c>
      <c r="C3" s="9" t="s">
        <v>37</v>
      </c>
    </row>
    <row r="4" spans="1:3" x14ac:dyDescent="0.25">
      <c r="A4" s="20" t="s">
        <v>38</v>
      </c>
      <c r="B4" s="21"/>
      <c r="C4" s="22"/>
    </row>
    <row r="5" spans="1:3" x14ac:dyDescent="0.25">
      <c r="A5" s="23" t="s">
        <v>39</v>
      </c>
      <c r="B5" s="24" t="s">
        <v>40</v>
      </c>
      <c r="C5" s="12"/>
    </row>
    <row r="6" spans="1:3" x14ac:dyDescent="0.25">
      <c r="A6" s="23" t="s">
        <v>41</v>
      </c>
      <c r="B6" s="24" t="s">
        <v>42</v>
      </c>
      <c r="C6" s="12" t="s">
        <v>43</v>
      </c>
    </row>
    <row r="7" spans="1:3" x14ac:dyDescent="0.25">
      <c r="A7" s="20" t="s">
        <v>44</v>
      </c>
      <c r="B7" s="21"/>
      <c r="C7" s="22"/>
    </row>
    <row r="8" spans="1:3" x14ac:dyDescent="0.25">
      <c r="A8" s="23" t="s">
        <v>45</v>
      </c>
      <c r="B8" s="24" t="s">
        <v>46</v>
      </c>
      <c r="C8" s="12"/>
    </row>
    <row r="9" spans="1:3" ht="22.5" x14ac:dyDescent="0.25">
      <c r="A9" s="23" t="s">
        <v>47</v>
      </c>
      <c r="B9" s="24" t="s">
        <v>48</v>
      </c>
      <c r="C9" s="12" t="s">
        <v>49</v>
      </c>
    </row>
    <row r="10" spans="1:3" x14ac:dyDescent="0.25">
      <c r="A10" s="23" t="s">
        <v>50</v>
      </c>
      <c r="B10" s="24" t="s">
        <v>51</v>
      </c>
      <c r="C10" s="12" t="s">
        <v>52</v>
      </c>
    </row>
    <row r="11" spans="1:3" x14ac:dyDescent="0.25">
      <c r="A11" s="23" t="s">
        <v>53</v>
      </c>
      <c r="B11" s="24" t="s">
        <v>54</v>
      </c>
      <c r="C11" s="12"/>
    </row>
    <row r="12" spans="1:3" x14ac:dyDescent="0.25">
      <c r="A12" s="23" t="s">
        <v>55</v>
      </c>
      <c r="B12" s="24" t="s">
        <v>56</v>
      </c>
      <c r="C12" s="12"/>
    </row>
    <row r="13" spans="1:3" x14ac:dyDescent="0.25">
      <c r="A13" s="23" t="s">
        <v>57</v>
      </c>
      <c r="B13" s="24" t="s">
        <v>58</v>
      </c>
      <c r="C13" s="12" t="s">
        <v>59</v>
      </c>
    </row>
    <row r="14" spans="1:3" x14ac:dyDescent="0.25">
      <c r="A14" s="20" t="s">
        <v>60</v>
      </c>
      <c r="B14" s="21"/>
      <c r="C14" s="22"/>
    </row>
    <row r="15" spans="1:3" x14ac:dyDescent="0.25">
      <c r="A15" s="23" t="s">
        <v>61</v>
      </c>
      <c r="B15" s="24" t="s">
        <v>62</v>
      </c>
      <c r="C15" s="12"/>
    </row>
    <row r="16" spans="1:3" x14ac:dyDescent="0.25">
      <c r="A16" s="23" t="s">
        <v>63</v>
      </c>
      <c r="B16" s="24" t="s">
        <v>64</v>
      </c>
      <c r="C16" s="12"/>
    </row>
    <row r="17" spans="1:3" x14ac:dyDescent="0.25">
      <c r="A17" s="23" t="s">
        <v>65</v>
      </c>
      <c r="B17" s="24" t="s">
        <v>66</v>
      </c>
      <c r="C17" s="12" t="s">
        <v>67</v>
      </c>
    </row>
    <row r="18" spans="1:3" x14ac:dyDescent="0.25">
      <c r="A18" s="23" t="s">
        <v>68</v>
      </c>
      <c r="B18" s="24" t="s">
        <v>69</v>
      </c>
      <c r="C18" s="12"/>
    </row>
    <row r="19" spans="1:3" x14ac:dyDescent="0.25">
      <c r="A19" s="23" t="s">
        <v>70</v>
      </c>
      <c r="B19" s="24" t="s">
        <v>71</v>
      </c>
      <c r="C19" s="12"/>
    </row>
    <row r="20" spans="1:3" x14ac:dyDescent="0.25">
      <c r="A20" s="20" t="s">
        <v>72</v>
      </c>
      <c r="B20" s="21"/>
      <c r="C20" s="22"/>
    </row>
    <row r="21" spans="1:3" x14ac:dyDescent="0.25">
      <c r="A21" s="23" t="s">
        <v>73</v>
      </c>
      <c r="B21" s="24" t="s">
        <v>74</v>
      </c>
      <c r="C21" s="12"/>
    </row>
    <row r="22" spans="1:3" x14ac:dyDescent="0.25">
      <c r="A22" s="23" t="s">
        <v>75</v>
      </c>
      <c r="B22" s="24" t="s">
        <v>76</v>
      </c>
      <c r="C22" s="12"/>
    </row>
    <row r="23" spans="1:3" x14ac:dyDescent="0.25">
      <c r="A23" s="23" t="s">
        <v>77</v>
      </c>
      <c r="B23" s="24" t="s">
        <v>78</v>
      </c>
      <c r="C23" s="12" t="s">
        <v>79</v>
      </c>
    </row>
    <row r="24" spans="1:3" x14ac:dyDescent="0.25">
      <c r="A24" s="23" t="s">
        <v>80</v>
      </c>
      <c r="B24" s="24" t="s">
        <v>81</v>
      </c>
      <c r="C24" s="12"/>
    </row>
    <row r="25" spans="1:3" x14ac:dyDescent="0.25">
      <c r="A25" s="23" t="s">
        <v>82</v>
      </c>
      <c r="B25" s="24" t="s">
        <v>83</v>
      </c>
      <c r="C25" s="12" t="s">
        <v>84</v>
      </c>
    </row>
    <row r="26" spans="1:3" x14ac:dyDescent="0.25">
      <c r="A26" s="20" t="s">
        <v>85</v>
      </c>
      <c r="B26" s="21"/>
      <c r="C26" s="22"/>
    </row>
    <row r="27" spans="1:3" x14ac:dyDescent="0.25">
      <c r="A27" s="23" t="s">
        <v>86</v>
      </c>
      <c r="B27" s="24" t="s">
        <v>87</v>
      </c>
      <c r="C27" s="12"/>
    </row>
    <row r="28" spans="1:3" x14ac:dyDescent="0.25">
      <c r="A28" s="23" t="s">
        <v>88</v>
      </c>
      <c r="B28" s="24" t="s">
        <v>89</v>
      </c>
      <c r="C28" s="12" t="s">
        <v>90</v>
      </c>
    </row>
    <row r="29" spans="1:3" x14ac:dyDescent="0.25">
      <c r="A29" s="23" t="s">
        <v>91</v>
      </c>
      <c r="B29" s="24" t="s">
        <v>92</v>
      </c>
      <c r="C29" s="12" t="s">
        <v>93</v>
      </c>
    </row>
    <row r="30" spans="1:3" x14ac:dyDescent="0.25">
      <c r="A30" s="23" t="s">
        <v>94</v>
      </c>
      <c r="B30" s="24" t="s">
        <v>95</v>
      </c>
      <c r="C30" s="1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46" customWidth="1"/>
    <col min="3" max="3" width="42" customWidth="1"/>
    <col min="4" max="4" width="16" customWidth="1"/>
    <col min="5" max="5" width="52" customWidth="1"/>
  </cols>
  <sheetData>
    <row r="1" spans="1:5" ht="24" customHeight="1" x14ac:dyDescent="0.25">
      <c r="A1" s="7" t="s">
        <v>96</v>
      </c>
      <c r="B1" s="8"/>
      <c r="C1" s="8"/>
      <c r="D1" s="8"/>
      <c r="E1" s="8"/>
    </row>
    <row r="2" spans="1:5" x14ac:dyDescent="0.25">
      <c r="A2" s="19" t="s">
        <v>97</v>
      </c>
    </row>
    <row r="3" spans="1:5" x14ac:dyDescent="0.25">
      <c r="A3" s="19" t="s">
        <v>98</v>
      </c>
    </row>
    <row r="5" spans="1:5" ht="30" customHeight="1" x14ac:dyDescent="0.25">
      <c r="A5" s="9" t="s">
        <v>99</v>
      </c>
      <c r="B5" s="9" t="s">
        <v>2</v>
      </c>
      <c r="C5" s="9" t="s">
        <v>100</v>
      </c>
      <c r="D5" s="9" t="s">
        <v>3</v>
      </c>
      <c r="E5" s="9" t="s">
        <v>37</v>
      </c>
    </row>
    <row r="6" spans="1:5" x14ac:dyDescent="0.25">
      <c r="A6" s="25" t="s">
        <v>101</v>
      </c>
      <c r="B6" s="26"/>
      <c r="C6" s="26"/>
      <c r="D6" s="26"/>
      <c r="E6" s="26"/>
    </row>
    <row r="7" spans="1:5" x14ac:dyDescent="0.25">
      <c r="A7" s="27" t="s">
        <v>102</v>
      </c>
      <c r="B7" s="24" t="s">
        <v>103</v>
      </c>
      <c r="C7" s="12" t="s">
        <v>104</v>
      </c>
      <c r="D7" s="28">
        <v>18888</v>
      </c>
      <c r="E7" s="12" t="s">
        <v>105</v>
      </c>
    </row>
    <row r="8" spans="1:5" x14ac:dyDescent="0.25">
      <c r="A8" s="27" t="s">
        <v>106</v>
      </c>
      <c r="B8" s="24" t="s">
        <v>107</v>
      </c>
      <c r="C8" s="12" t="s">
        <v>108</v>
      </c>
      <c r="D8" s="29">
        <v>2</v>
      </c>
      <c r="E8" s="12"/>
    </row>
    <row r="9" spans="1:5" x14ac:dyDescent="0.25">
      <c r="A9" s="27" t="s">
        <v>109</v>
      </c>
      <c r="B9" s="24" t="s">
        <v>110</v>
      </c>
      <c r="C9" s="12" t="s">
        <v>111</v>
      </c>
      <c r="D9" s="30">
        <f>D7*D8</f>
        <v>37776</v>
      </c>
      <c r="E9" s="12" t="s">
        <v>112</v>
      </c>
    </row>
    <row r="10" spans="1:5" x14ac:dyDescent="0.25">
      <c r="A10" s="27" t="s">
        <v>113</v>
      </c>
      <c r="B10" s="24" t="s">
        <v>114</v>
      </c>
      <c r="C10" s="12" t="s">
        <v>115</v>
      </c>
      <c r="D10" s="28">
        <v>36147.96</v>
      </c>
      <c r="E10" s="12" t="s">
        <v>83</v>
      </c>
    </row>
    <row r="11" spans="1:5" x14ac:dyDescent="0.25">
      <c r="A11" s="27" t="s">
        <v>116</v>
      </c>
      <c r="B11" s="24" t="s">
        <v>117</v>
      </c>
      <c r="C11" s="12" t="s">
        <v>118</v>
      </c>
      <c r="D11" s="30">
        <f>D10/D8</f>
        <v>18073.98</v>
      </c>
      <c r="E11" s="12"/>
    </row>
    <row r="12" spans="1:5" x14ac:dyDescent="0.25">
      <c r="A12" s="27" t="s">
        <v>119</v>
      </c>
      <c r="B12" s="24" t="s">
        <v>120</v>
      </c>
      <c r="C12" s="12" t="s">
        <v>121</v>
      </c>
      <c r="D12" s="31">
        <v>7.0000000000000007E-2</v>
      </c>
      <c r="E12" s="12"/>
    </row>
    <row r="13" spans="1:5" x14ac:dyDescent="0.25">
      <c r="A13" s="27" t="s">
        <v>122</v>
      </c>
      <c r="B13" s="24" t="s">
        <v>123</v>
      </c>
      <c r="C13" s="12" t="s">
        <v>124</v>
      </c>
      <c r="D13" s="31">
        <v>0.03</v>
      </c>
      <c r="E13" s="12" t="s">
        <v>125</v>
      </c>
    </row>
    <row r="14" spans="1:5" x14ac:dyDescent="0.25">
      <c r="A14" s="27" t="s">
        <v>126</v>
      </c>
      <c r="B14" s="24" t="s">
        <v>127</v>
      </c>
      <c r="C14" s="12" t="s">
        <v>128</v>
      </c>
      <c r="D14" s="28">
        <v>1000</v>
      </c>
      <c r="E14" s="12" t="s">
        <v>129</v>
      </c>
    </row>
    <row r="15" spans="1:5" x14ac:dyDescent="0.25">
      <c r="A15" s="25" t="s">
        <v>130</v>
      </c>
      <c r="B15" s="26"/>
      <c r="C15" s="26"/>
      <c r="D15" s="26"/>
      <c r="E15" s="26"/>
    </row>
    <row r="16" spans="1:5" x14ac:dyDescent="0.25">
      <c r="A16" s="14" t="s">
        <v>131</v>
      </c>
      <c r="B16" s="32" t="s">
        <v>132</v>
      </c>
      <c r="C16" s="16" t="s">
        <v>133</v>
      </c>
      <c r="D16" s="33">
        <f>D9-D10</f>
        <v>1628.0400000000009</v>
      </c>
      <c r="E16" s="16" t="s">
        <v>134</v>
      </c>
    </row>
    <row r="17" spans="1:5" x14ac:dyDescent="0.25">
      <c r="A17" s="27" t="s">
        <v>135</v>
      </c>
      <c r="B17" s="24" t="s">
        <v>136</v>
      </c>
      <c r="C17" s="12" t="s">
        <v>137</v>
      </c>
      <c r="D17" s="30">
        <f>D16/D8</f>
        <v>814.02000000000044</v>
      </c>
      <c r="E17" s="12"/>
    </row>
    <row r="18" spans="1:5" x14ac:dyDescent="0.25">
      <c r="A18" s="27" t="s">
        <v>138</v>
      </c>
      <c r="B18" s="24" t="s">
        <v>139</v>
      </c>
      <c r="C18" s="12" t="s">
        <v>140</v>
      </c>
      <c r="D18" s="34">
        <f>D16/D9</f>
        <v>4.3097204574332935E-2</v>
      </c>
      <c r="E18" s="12"/>
    </row>
    <row r="19" spans="1:5" x14ac:dyDescent="0.25">
      <c r="A19" s="25" t="s">
        <v>141</v>
      </c>
      <c r="B19" s="26"/>
      <c r="C19" s="26"/>
      <c r="D19" s="26"/>
      <c r="E19" s="26"/>
    </row>
    <row r="20" spans="1:5" x14ac:dyDescent="0.25">
      <c r="A20" s="27" t="s">
        <v>142</v>
      </c>
      <c r="B20" s="24" t="s">
        <v>143</v>
      </c>
      <c r="C20" s="12" t="s">
        <v>144</v>
      </c>
      <c r="D20" s="30">
        <f>ROUND(D14/(1+D12),2)</f>
        <v>934.58</v>
      </c>
      <c r="E20" s="12" t="s">
        <v>145</v>
      </c>
    </row>
    <row r="21" spans="1:5" x14ac:dyDescent="0.25">
      <c r="A21" s="27" t="s">
        <v>146</v>
      </c>
      <c r="B21" s="24" t="s">
        <v>147</v>
      </c>
      <c r="C21" s="12" t="s">
        <v>148</v>
      </c>
      <c r="D21" s="30">
        <f>ROUND(D20*D12,2)</f>
        <v>65.42</v>
      </c>
      <c r="E21" s="12" t="s">
        <v>149</v>
      </c>
    </row>
    <row r="22" spans="1:5" x14ac:dyDescent="0.25">
      <c r="A22" s="27" t="s">
        <v>150</v>
      </c>
      <c r="B22" s="24" t="s">
        <v>151</v>
      </c>
      <c r="C22" s="12" t="s">
        <v>152</v>
      </c>
      <c r="D22" s="30">
        <f>D20+D21</f>
        <v>1000</v>
      </c>
      <c r="E22" s="12" t="s">
        <v>153</v>
      </c>
    </row>
    <row r="23" spans="1:5" x14ac:dyDescent="0.25">
      <c r="A23" s="27" t="s">
        <v>154</v>
      </c>
      <c r="B23" s="24" t="s">
        <v>155</v>
      </c>
      <c r="C23" s="12" t="s">
        <v>156</v>
      </c>
      <c r="D23" s="30">
        <f>ROUND(D20*D13,2)</f>
        <v>28.04</v>
      </c>
      <c r="E23" s="12" t="s">
        <v>157</v>
      </c>
    </row>
    <row r="24" spans="1:5" x14ac:dyDescent="0.25">
      <c r="A24" s="25" t="s">
        <v>158</v>
      </c>
      <c r="B24" s="26"/>
      <c r="C24" s="26"/>
      <c r="D24" s="26"/>
      <c r="E24" s="26"/>
    </row>
    <row r="25" spans="1:5" x14ac:dyDescent="0.25">
      <c r="A25" s="27" t="s">
        <v>159</v>
      </c>
      <c r="B25" s="24" t="s">
        <v>160</v>
      </c>
      <c r="C25" s="12" t="s">
        <v>161</v>
      </c>
      <c r="D25" s="30">
        <f>D16-D23</f>
        <v>1600.0000000000009</v>
      </c>
      <c r="E25" s="12" t="s">
        <v>162</v>
      </c>
    </row>
    <row r="26" spans="1:5" x14ac:dyDescent="0.25">
      <c r="A26" s="27" t="s">
        <v>163</v>
      </c>
      <c r="B26" s="24" t="s">
        <v>143</v>
      </c>
      <c r="C26" s="12" t="s">
        <v>164</v>
      </c>
      <c r="D26" s="30">
        <f>ROUND(D25/(1+D12),2)</f>
        <v>1495.33</v>
      </c>
      <c r="E26" s="12" t="s">
        <v>165</v>
      </c>
    </row>
    <row r="27" spans="1:5" x14ac:dyDescent="0.25">
      <c r="A27" s="27" t="s">
        <v>166</v>
      </c>
      <c r="B27" s="24" t="s">
        <v>167</v>
      </c>
      <c r="C27" s="12" t="s">
        <v>168</v>
      </c>
      <c r="D27" s="30">
        <f>ROUND(D26*D12,2)</f>
        <v>104.67</v>
      </c>
      <c r="E27" s="12" t="s">
        <v>169</v>
      </c>
    </row>
    <row r="28" spans="1:5" x14ac:dyDescent="0.25">
      <c r="A28" s="27" t="s">
        <v>170</v>
      </c>
      <c r="B28" s="24" t="s">
        <v>171</v>
      </c>
      <c r="C28" s="12" t="s">
        <v>172</v>
      </c>
      <c r="D28" s="30">
        <f>D26+D27</f>
        <v>1600</v>
      </c>
      <c r="E28" s="12" t="s">
        <v>173</v>
      </c>
    </row>
    <row r="29" spans="1:5" x14ac:dyDescent="0.25">
      <c r="A29" s="25" t="s">
        <v>174</v>
      </c>
      <c r="B29" s="26"/>
      <c r="C29" s="26"/>
      <c r="D29" s="26"/>
      <c r="E29" s="26"/>
    </row>
    <row r="30" spans="1:5" x14ac:dyDescent="0.25">
      <c r="A30" s="27" t="s">
        <v>175</v>
      </c>
      <c r="B30" s="24" t="s">
        <v>176</v>
      </c>
      <c r="C30" s="12" t="s">
        <v>166</v>
      </c>
      <c r="D30" s="30">
        <f>D27</f>
        <v>104.67</v>
      </c>
      <c r="E30" s="12"/>
    </row>
    <row r="31" spans="1:5" x14ac:dyDescent="0.25">
      <c r="A31" s="27" t="s">
        <v>177</v>
      </c>
      <c r="B31" s="24" t="s">
        <v>178</v>
      </c>
      <c r="C31" s="12" t="s">
        <v>154</v>
      </c>
      <c r="D31" s="30">
        <f>D23</f>
        <v>28.04</v>
      </c>
      <c r="E31" s="12"/>
    </row>
    <row r="32" spans="1:5" x14ac:dyDescent="0.25">
      <c r="A32" s="14" t="s">
        <v>179</v>
      </c>
      <c r="B32" s="32" t="s">
        <v>180</v>
      </c>
      <c r="C32" s="16" t="s">
        <v>181</v>
      </c>
      <c r="D32" s="33">
        <f>D30+D31</f>
        <v>132.71</v>
      </c>
      <c r="E32" s="16" t="s">
        <v>182</v>
      </c>
    </row>
    <row r="33" spans="1:5" x14ac:dyDescent="0.25">
      <c r="A33" s="25" t="s">
        <v>183</v>
      </c>
      <c r="B33" s="26"/>
      <c r="C33" s="26"/>
      <c r="D33" s="26"/>
      <c r="E33" s="26"/>
    </row>
    <row r="34" spans="1:5" x14ac:dyDescent="0.25">
      <c r="A34" s="27" t="s">
        <v>184</v>
      </c>
      <c r="B34" s="24" t="s">
        <v>185</v>
      </c>
      <c r="C34" s="12" t="s">
        <v>109</v>
      </c>
      <c r="D34" s="30">
        <f>D9</f>
        <v>37776</v>
      </c>
      <c r="E34" s="12"/>
    </row>
    <row r="35" spans="1:5" x14ac:dyDescent="0.25">
      <c r="A35" s="27" t="s">
        <v>186</v>
      </c>
      <c r="B35" s="24" t="s">
        <v>187</v>
      </c>
      <c r="C35" s="12" t="s">
        <v>188</v>
      </c>
      <c r="D35" s="30">
        <f>-D10</f>
        <v>-36147.96</v>
      </c>
      <c r="E35" s="12"/>
    </row>
    <row r="36" spans="1:5" x14ac:dyDescent="0.25">
      <c r="A36" s="27" t="s">
        <v>189</v>
      </c>
      <c r="B36" s="24" t="s">
        <v>190</v>
      </c>
      <c r="C36" s="12" t="s">
        <v>191</v>
      </c>
      <c r="D36" s="30">
        <f>-D32</f>
        <v>-132.71</v>
      </c>
      <c r="E36" s="12"/>
    </row>
    <row r="37" spans="1:5" x14ac:dyDescent="0.25">
      <c r="A37" s="14" t="s">
        <v>192</v>
      </c>
      <c r="B37" s="32" t="s">
        <v>24</v>
      </c>
      <c r="C37" s="16" t="s">
        <v>193</v>
      </c>
      <c r="D37" s="33">
        <f>SUM(D34:D36)</f>
        <v>1495.3300000000008</v>
      </c>
      <c r="E37" s="16" t="s">
        <v>194</v>
      </c>
    </row>
    <row r="38" spans="1:5" x14ac:dyDescent="0.25">
      <c r="A38" s="27" t="s">
        <v>195</v>
      </c>
      <c r="B38" s="24" t="s">
        <v>196</v>
      </c>
      <c r="C38" s="12" t="s">
        <v>197</v>
      </c>
      <c r="D38" s="34">
        <f>D37/D9</f>
        <v>3.9584127488352418E-2</v>
      </c>
      <c r="E38" s="12"/>
    </row>
    <row r="39" spans="1:5" x14ac:dyDescent="0.25">
      <c r="A39" s="27" t="s">
        <v>198</v>
      </c>
      <c r="B39" s="24" t="s">
        <v>30</v>
      </c>
      <c r="C39" s="12" t="s">
        <v>199</v>
      </c>
      <c r="D39" s="30">
        <f>D37/D8</f>
        <v>747.66500000000042</v>
      </c>
      <c r="E39" s="12"/>
    </row>
    <row r="41" spans="1:5" x14ac:dyDescent="0.25">
      <c r="B41" s="35" t="s">
        <v>200</v>
      </c>
    </row>
    <row r="42" spans="1:5" x14ac:dyDescent="0.25">
      <c r="B42" s="3" t="s">
        <v>201</v>
      </c>
      <c r="C42" s="3"/>
      <c r="D42" s="3"/>
      <c r="E42" s="3"/>
    </row>
    <row r="43" spans="1:5" x14ac:dyDescent="0.25">
      <c r="B43" s="3" t="s">
        <v>202</v>
      </c>
      <c r="C43" s="3"/>
      <c r="D43" s="3"/>
      <c r="E43" s="3"/>
    </row>
    <row r="44" spans="1:5" x14ac:dyDescent="0.25">
      <c r="B44" s="3" t="s">
        <v>203</v>
      </c>
      <c r="C44" s="3"/>
      <c r="D44" s="3"/>
      <c r="E44" s="3"/>
    </row>
    <row r="45" spans="1:5" x14ac:dyDescent="0.25">
      <c r="B45" s="3" t="s">
        <v>204</v>
      </c>
      <c r="C45" s="3"/>
      <c r="D45" s="3"/>
      <c r="E45" s="3"/>
    </row>
  </sheetData>
  <mergeCells count="4">
    <mergeCell ref="B42:E42"/>
    <mergeCell ref="B43:E43"/>
    <mergeCell ref="B44:E44"/>
    <mergeCell ref="B45:E4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14" customWidth="1"/>
    <col min="3" max="3" width="20" customWidth="1"/>
    <col min="4" max="4" width="16" customWidth="1"/>
    <col min="5" max="5" width="18" customWidth="1"/>
    <col min="6" max="6" width="16" customWidth="1"/>
    <col min="7" max="7" width="14" customWidth="1"/>
    <col min="8" max="8" width="20" customWidth="1"/>
    <col min="9" max="9" width="46" customWidth="1"/>
  </cols>
  <sheetData>
    <row r="1" spans="1:9" ht="24" customHeight="1" x14ac:dyDescent="0.25">
      <c r="A1" s="7" t="s">
        <v>205</v>
      </c>
      <c r="B1" s="8"/>
      <c r="C1" s="8"/>
      <c r="D1" s="8"/>
      <c r="E1" s="8"/>
      <c r="F1" s="8"/>
      <c r="G1" s="8"/>
      <c r="H1" s="8"/>
      <c r="I1" s="8"/>
    </row>
    <row r="3" spans="1:9" ht="30" customHeight="1" x14ac:dyDescent="0.25">
      <c r="A3" s="9" t="s">
        <v>1</v>
      </c>
      <c r="B3" s="9" t="s">
        <v>206</v>
      </c>
      <c r="C3" s="9" t="s">
        <v>207</v>
      </c>
      <c r="D3" s="9" t="s">
        <v>208</v>
      </c>
      <c r="E3" s="9" t="s">
        <v>209</v>
      </c>
      <c r="F3" s="9" t="s">
        <v>155</v>
      </c>
      <c r="G3" s="9" t="s">
        <v>210</v>
      </c>
      <c r="H3" s="9" t="s">
        <v>211</v>
      </c>
      <c r="I3" s="9" t="s">
        <v>212</v>
      </c>
    </row>
    <row r="4" spans="1:9" ht="33.75" x14ac:dyDescent="0.25">
      <c r="A4" s="37">
        <v>1</v>
      </c>
      <c r="B4" s="37" t="s">
        <v>213</v>
      </c>
      <c r="C4" s="37" t="s">
        <v>214</v>
      </c>
      <c r="D4" s="11">
        <f>วิธีคิดทีละขั้น!D26</f>
        <v>1495.33</v>
      </c>
      <c r="E4" s="11">
        <f>วิธีคิดทีละขั้น!D25</f>
        <v>1600.0000000000009</v>
      </c>
      <c r="F4" s="30">
        <v>0</v>
      </c>
      <c r="G4" s="11">
        <f>วิธีคิดทีละขั้น!D27</f>
        <v>104.67</v>
      </c>
      <c r="H4" s="11">
        <f>วิธีคิดทีละขั้น!D27</f>
        <v>104.67</v>
      </c>
      <c r="I4" s="38" t="s">
        <v>215</v>
      </c>
    </row>
    <row r="5" spans="1:9" ht="22.5" x14ac:dyDescent="0.25">
      <c r="A5" s="37">
        <v>2</v>
      </c>
      <c r="B5" s="37" t="s">
        <v>216</v>
      </c>
      <c r="C5" s="37" t="s">
        <v>217</v>
      </c>
      <c r="D5" s="11">
        <f>วิธีคิดทีละขั้น!D20</f>
        <v>934.58</v>
      </c>
      <c r="E5" s="11">
        <f>วิธีคิดทีละขั้น!D14</f>
        <v>1000</v>
      </c>
      <c r="F5" s="11">
        <f>วิธีคิดทีละขั้น!D23</f>
        <v>28.04</v>
      </c>
      <c r="G5" s="11">
        <f>วิธีคิดทีละขั้น!D21</f>
        <v>65.42</v>
      </c>
      <c r="H5" s="11">
        <f>วิธีคิดทีละขั้น!D23</f>
        <v>28.04</v>
      </c>
      <c r="I5" s="38" t="s">
        <v>218</v>
      </c>
    </row>
    <row r="6" spans="1:9" x14ac:dyDescent="0.25">
      <c r="A6" s="39"/>
      <c r="B6" s="39"/>
      <c r="C6" s="40" t="s">
        <v>219</v>
      </c>
      <c r="D6" s="39"/>
      <c r="E6" s="39"/>
      <c r="F6" s="39"/>
      <c r="G6" s="39"/>
      <c r="H6" s="41">
        <f>SUM(H4:H5)</f>
        <v>132.71</v>
      </c>
      <c r="I6" s="42" t="s">
        <v>220</v>
      </c>
    </row>
    <row r="8" spans="1:9" x14ac:dyDescent="0.25">
      <c r="A8" s="35" t="s">
        <v>221</v>
      </c>
    </row>
    <row r="9" spans="1:9" x14ac:dyDescent="0.25">
      <c r="A9" s="2" t="s">
        <v>222</v>
      </c>
      <c r="B9" s="2"/>
      <c r="C9" s="2"/>
      <c r="D9" s="44">
        <f>วิธีคิดทีละขั้น!D27</f>
        <v>104.67</v>
      </c>
      <c r="E9" s="3" t="s">
        <v>223</v>
      </c>
      <c r="F9" s="3"/>
      <c r="G9" s="3"/>
      <c r="H9" s="3"/>
      <c r="I9" s="3"/>
    </row>
    <row r="10" spans="1:9" x14ac:dyDescent="0.25">
      <c r="A10" s="2" t="s">
        <v>224</v>
      </c>
      <c r="B10" s="2"/>
      <c r="C10" s="2"/>
      <c r="D10" s="44">
        <f>-วิธีคิดทีละขั้น!D21</f>
        <v>-65.42</v>
      </c>
      <c r="E10" s="3" t="s">
        <v>225</v>
      </c>
      <c r="F10" s="3"/>
      <c r="G10" s="3"/>
      <c r="H10" s="3"/>
      <c r="I10" s="3"/>
    </row>
    <row r="11" spans="1:9" x14ac:dyDescent="0.25">
      <c r="A11" s="2" t="s">
        <v>226</v>
      </c>
      <c r="B11" s="2"/>
      <c r="C11" s="2"/>
      <c r="D11" s="45">
        <f>วิธีคิดทีละขั้น!D27-วิธีคิดทีละขั้น!D21</f>
        <v>39.25</v>
      </c>
      <c r="E11" s="3" t="s">
        <v>227</v>
      </c>
      <c r="F11" s="3"/>
      <c r="G11" s="3"/>
      <c r="H11" s="3"/>
      <c r="I11" s="3"/>
    </row>
  </sheetData>
  <mergeCells count="6">
    <mergeCell ref="A9:C9"/>
    <mergeCell ref="E9:I9"/>
    <mergeCell ref="A10:C10"/>
    <mergeCell ref="E10:I10"/>
    <mergeCell ref="A11:C11"/>
    <mergeCell ref="E11:I1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3" width="26" customWidth="1"/>
    <col min="4" max="5" width="18" customWidth="1"/>
    <col min="6" max="6" width="46" customWidth="1"/>
  </cols>
  <sheetData>
    <row r="1" spans="1:6" ht="24" customHeight="1" x14ac:dyDescent="0.25">
      <c r="A1" s="7" t="s">
        <v>228</v>
      </c>
      <c r="B1" s="8"/>
      <c r="C1" s="8"/>
      <c r="D1" s="8"/>
      <c r="E1" s="8"/>
      <c r="F1" s="8"/>
    </row>
    <row r="3" spans="1:6" ht="30" customHeight="1" x14ac:dyDescent="0.25">
      <c r="A3" s="9" t="s">
        <v>1</v>
      </c>
      <c r="B3" s="9" t="s">
        <v>2</v>
      </c>
      <c r="C3" s="9" t="s">
        <v>229</v>
      </c>
      <c r="D3" s="9" t="s">
        <v>230</v>
      </c>
      <c r="E3" s="9" t="s">
        <v>231</v>
      </c>
      <c r="F3" s="9" t="s">
        <v>37</v>
      </c>
    </row>
    <row r="4" spans="1:6" x14ac:dyDescent="0.25">
      <c r="A4" s="37">
        <v>1</v>
      </c>
      <c r="B4" s="37" t="s">
        <v>232</v>
      </c>
      <c r="C4" s="37" t="s">
        <v>233</v>
      </c>
      <c r="D4" s="28">
        <v>37776</v>
      </c>
      <c r="E4" s="30"/>
      <c r="F4" s="38" t="s">
        <v>234</v>
      </c>
    </row>
    <row r="5" spans="1:6" ht="22.5" x14ac:dyDescent="0.25">
      <c r="A5" s="37">
        <v>2</v>
      </c>
      <c r="B5" s="37" t="s">
        <v>235</v>
      </c>
      <c r="C5" s="37" t="s">
        <v>236</v>
      </c>
      <c r="D5" s="30"/>
      <c r="E5" s="28">
        <v>36147.96</v>
      </c>
      <c r="F5" s="38" t="s">
        <v>237</v>
      </c>
    </row>
    <row r="6" spans="1:6" x14ac:dyDescent="0.25">
      <c r="A6" s="39"/>
      <c r="B6" s="40" t="s">
        <v>219</v>
      </c>
      <c r="C6" s="39"/>
      <c r="D6" s="41">
        <f>SUM(D4:D5)</f>
        <v>37776</v>
      </c>
      <c r="E6" s="41">
        <f>SUM(E4:E5)</f>
        <v>36147.96</v>
      </c>
      <c r="F6" s="39"/>
    </row>
    <row r="8" spans="1:6" x14ac:dyDescent="0.25">
      <c r="B8" s="43" t="s">
        <v>238</v>
      </c>
      <c r="D8" s="44">
        <f>D6-E6</f>
        <v>1628.0400000000009</v>
      </c>
      <c r="F8" s="36" t="s">
        <v>239</v>
      </c>
    </row>
    <row r="9" spans="1:6" x14ac:dyDescent="0.25">
      <c r="B9" s="43" t="s">
        <v>240</v>
      </c>
      <c r="D9" s="44">
        <f>-วิธีคิดทีละขั้น!D32</f>
        <v>-132.71</v>
      </c>
      <c r="F9" s="36" t="s">
        <v>182</v>
      </c>
    </row>
    <row r="10" spans="1:6" x14ac:dyDescent="0.25">
      <c r="B10" s="46" t="s">
        <v>241</v>
      </c>
      <c r="D10" s="45">
        <f>D6-E6-วิธีคิดทีละขั้น!D32</f>
        <v>1495.3300000000008</v>
      </c>
      <c r="F10" s="36" t="s">
        <v>242</v>
      </c>
    </row>
    <row r="11" spans="1:6" x14ac:dyDescent="0.25">
      <c r="B11" s="43" t="s">
        <v>15</v>
      </c>
      <c r="D11" s="44">
        <f>วิธีคิดทีละขั้น!D10-E6</f>
        <v>0</v>
      </c>
      <c r="F11" s="36" t="s">
        <v>243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44" customWidth="1"/>
    <col min="3" max="4" width="16" customWidth="1"/>
    <col min="5" max="5" width="14" customWidth="1"/>
    <col min="6" max="6" width="60" customWidth="1"/>
  </cols>
  <sheetData>
    <row r="1" spans="1:6" ht="24" customHeight="1" x14ac:dyDescent="0.25">
      <c r="A1" s="7" t="s">
        <v>244</v>
      </c>
      <c r="B1" s="8"/>
      <c r="C1" s="8"/>
      <c r="D1" s="8"/>
      <c r="E1" s="8"/>
      <c r="F1" s="8"/>
    </row>
    <row r="3" spans="1:6" ht="30" customHeight="1" x14ac:dyDescent="0.25">
      <c r="A3" s="9" t="s">
        <v>1</v>
      </c>
      <c r="B3" s="9" t="s">
        <v>245</v>
      </c>
      <c r="C3" s="9" t="s">
        <v>246</v>
      </c>
      <c r="D3" s="9" t="s">
        <v>247</v>
      </c>
      <c r="E3" s="9" t="s">
        <v>248</v>
      </c>
      <c r="F3" s="9" t="s">
        <v>37</v>
      </c>
    </row>
    <row r="4" spans="1:6" x14ac:dyDescent="0.25">
      <c r="A4" s="10">
        <v>1</v>
      </c>
      <c r="B4" s="24" t="s">
        <v>185</v>
      </c>
      <c r="C4" s="11">
        <f>วิธีคิดทีละขั้น!D9</f>
        <v>37776</v>
      </c>
      <c r="D4" s="28">
        <v>37776</v>
      </c>
      <c r="E4" s="47" t="str">
        <f t="shared" ref="E4:E13" si="0">IF(ROUND(C4-D4,2)=0,"ตรงกัน","ต่าง "&amp;TEXT(C4-D4,"0.00"))</f>
        <v>ตรงกัน</v>
      </c>
      <c r="F4" s="12" t="s">
        <v>249</v>
      </c>
    </row>
    <row r="5" spans="1:6" x14ac:dyDescent="0.25">
      <c r="A5" s="10">
        <v>2</v>
      </c>
      <c r="B5" s="24" t="s">
        <v>250</v>
      </c>
      <c r="C5" s="11">
        <f>วิธีคิดทีละขั้น!D16</f>
        <v>1628.0400000000009</v>
      </c>
      <c r="D5" s="28">
        <v>1628.04</v>
      </c>
      <c r="E5" s="47" t="str">
        <f t="shared" si="0"/>
        <v>ตรงกัน</v>
      </c>
      <c r="F5" s="12" t="s">
        <v>251</v>
      </c>
    </row>
    <row r="6" spans="1:6" x14ac:dyDescent="0.25">
      <c r="A6" s="10">
        <v>3</v>
      </c>
      <c r="B6" s="24" t="s">
        <v>252</v>
      </c>
      <c r="C6" s="11">
        <f>วิธีคิดทีละขั้น!D26</f>
        <v>1495.33</v>
      </c>
      <c r="D6" s="28">
        <v>1495.33</v>
      </c>
      <c r="E6" s="47" t="str">
        <f t="shared" si="0"/>
        <v>ตรงกัน</v>
      </c>
      <c r="F6" s="12" t="s">
        <v>253</v>
      </c>
    </row>
    <row r="7" spans="1:6" x14ac:dyDescent="0.25">
      <c r="A7" s="10">
        <v>4</v>
      </c>
      <c r="B7" s="24" t="s">
        <v>167</v>
      </c>
      <c r="C7" s="11">
        <f>วิธีคิดทีละขั้น!D27</f>
        <v>104.67</v>
      </c>
      <c r="D7" s="28">
        <v>104.67</v>
      </c>
      <c r="E7" s="47" t="str">
        <f t="shared" si="0"/>
        <v>ตรงกัน</v>
      </c>
      <c r="F7" s="12" t="s">
        <v>254</v>
      </c>
    </row>
    <row r="8" spans="1:6" x14ac:dyDescent="0.25">
      <c r="A8" s="10">
        <v>5</v>
      </c>
      <c r="B8" s="24" t="s">
        <v>255</v>
      </c>
      <c r="C8" s="11">
        <f>วิธีคิดทีละขั้น!D20</f>
        <v>934.58</v>
      </c>
      <c r="D8" s="28">
        <v>934.58</v>
      </c>
      <c r="E8" s="47" t="str">
        <f t="shared" si="0"/>
        <v>ตรงกัน</v>
      </c>
      <c r="F8" s="12" t="s">
        <v>256</v>
      </c>
    </row>
    <row r="9" spans="1:6" x14ac:dyDescent="0.25">
      <c r="A9" s="10">
        <v>6</v>
      </c>
      <c r="B9" s="24" t="s">
        <v>147</v>
      </c>
      <c r="C9" s="11">
        <f>วิธีคิดทีละขั้น!D21</f>
        <v>65.42</v>
      </c>
      <c r="D9" s="28">
        <v>65.42</v>
      </c>
      <c r="E9" s="47" t="str">
        <f t="shared" si="0"/>
        <v>ตรงกัน</v>
      </c>
      <c r="F9" s="12" t="s">
        <v>257</v>
      </c>
    </row>
    <row r="10" spans="1:6" x14ac:dyDescent="0.25">
      <c r="A10" s="10">
        <v>7</v>
      </c>
      <c r="B10" s="24" t="s">
        <v>155</v>
      </c>
      <c r="C10" s="11">
        <f>วิธีคิดทีละขั้น!D23</f>
        <v>28.04</v>
      </c>
      <c r="D10" s="28">
        <v>28.04</v>
      </c>
      <c r="E10" s="47" t="str">
        <f t="shared" si="0"/>
        <v>ตรงกัน</v>
      </c>
      <c r="F10" s="12" t="s">
        <v>258</v>
      </c>
    </row>
    <row r="11" spans="1:6" x14ac:dyDescent="0.25">
      <c r="A11" s="10">
        <v>8</v>
      </c>
      <c r="B11" s="24" t="s">
        <v>180</v>
      </c>
      <c r="C11" s="11">
        <f>วิธีคิดทีละขั้น!D32</f>
        <v>132.71</v>
      </c>
      <c r="D11" s="28">
        <v>132.71</v>
      </c>
      <c r="E11" s="47" t="str">
        <f t="shared" si="0"/>
        <v>ตรงกัน</v>
      </c>
      <c r="F11" s="12" t="s">
        <v>259</v>
      </c>
    </row>
    <row r="12" spans="1:6" x14ac:dyDescent="0.25">
      <c r="A12" s="10">
        <v>9</v>
      </c>
      <c r="B12" s="24" t="s">
        <v>24</v>
      </c>
      <c r="C12" s="11">
        <f>วิธีคิดทีละขั้น!D37</f>
        <v>1495.3300000000008</v>
      </c>
      <c r="D12" s="28">
        <v>1495.33</v>
      </c>
      <c r="E12" s="47" t="str">
        <f t="shared" si="0"/>
        <v>ตรงกัน</v>
      </c>
      <c r="F12" s="12" t="s">
        <v>260</v>
      </c>
    </row>
    <row r="13" spans="1:6" x14ac:dyDescent="0.25">
      <c r="A13" s="10">
        <v>10</v>
      </c>
      <c r="B13" s="24" t="s">
        <v>12</v>
      </c>
      <c r="C13" s="11">
        <f>การชำระเงิน!E5</f>
        <v>36147.96</v>
      </c>
      <c r="D13" s="28">
        <v>36147.96</v>
      </c>
      <c r="E13" s="47" t="str">
        <f t="shared" si="0"/>
        <v>ตรงกัน</v>
      </c>
      <c r="F13" s="12" t="s">
        <v>261</v>
      </c>
    </row>
    <row r="16" spans="1:6" ht="15.75" x14ac:dyDescent="0.25">
      <c r="A16" s="48" t="s">
        <v>262</v>
      </c>
      <c r="B16" s="8"/>
      <c r="C16" s="8"/>
      <c r="D16" s="8"/>
      <c r="E16" s="8"/>
      <c r="F16" s="8"/>
    </row>
    <row r="17" spans="1:6" ht="30" customHeight="1" x14ac:dyDescent="0.25">
      <c r="A17" s="9" t="s">
        <v>1</v>
      </c>
      <c r="B17" s="9" t="s">
        <v>263</v>
      </c>
      <c r="C17" s="9" t="s">
        <v>264</v>
      </c>
      <c r="D17" s="9" t="s">
        <v>265</v>
      </c>
      <c r="E17" s="9"/>
      <c r="F17" s="9" t="s">
        <v>266</v>
      </c>
    </row>
    <row r="18" spans="1:6" ht="42" customHeight="1" x14ac:dyDescent="0.25">
      <c r="A18" s="49">
        <v>1</v>
      </c>
      <c r="B18" s="24" t="s">
        <v>267</v>
      </c>
      <c r="C18" s="50" t="s">
        <v>268</v>
      </c>
      <c r="D18" s="1" t="s">
        <v>269</v>
      </c>
      <c r="E18" s="1"/>
      <c r="F18" s="12" t="s">
        <v>270</v>
      </c>
    </row>
    <row r="19" spans="1:6" ht="42" customHeight="1" x14ac:dyDescent="0.25">
      <c r="A19" s="49">
        <v>2</v>
      </c>
      <c r="B19" s="24" t="s">
        <v>271</v>
      </c>
      <c r="C19" s="50" t="s">
        <v>268</v>
      </c>
      <c r="D19" s="1" t="s">
        <v>272</v>
      </c>
      <c r="E19" s="1"/>
      <c r="F19" s="12" t="s">
        <v>273</v>
      </c>
    </row>
    <row r="20" spans="1:6" ht="42" customHeight="1" x14ac:dyDescent="0.25">
      <c r="A20" s="49">
        <v>3</v>
      </c>
      <c r="B20" s="24" t="s">
        <v>274</v>
      </c>
      <c r="C20" s="50" t="s">
        <v>268</v>
      </c>
      <c r="D20" s="1" t="s">
        <v>275</v>
      </c>
      <c r="E20" s="1"/>
      <c r="F20" s="12" t="s">
        <v>276</v>
      </c>
    </row>
    <row r="21" spans="1:6" ht="42" customHeight="1" x14ac:dyDescent="0.25">
      <c r="A21" s="49">
        <v>4</v>
      </c>
      <c r="B21" s="24" t="s">
        <v>277</v>
      </c>
      <c r="C21" s="51" t="s">
        <v>278</v>
      </c>
      <c r="D21" s="1" t="s">
        <v>279</v>
      </c>
      <c r="E21" s="1"/>
      <c r="F21" s="12" t="s">
        <v>280</v>
      </c>
    </row>
    <row r="22" spans="1:6" ht="42" customHeight="1" x14ac:dyDescent="0.25">
      <c r="A22" s="49">
        <v>5</v>
      </c>
      <c r="B22" s="24" t="s">
        <v>281</v>
      </c>
      <c r="C22" s="51" t="s">
        <v>278</v>
      </c>
      <c r="D22" s="1" t="s">
        <v>279</v>
      </c>
      <c r="E22" s="1"/>
      <c r="F22" s="12" t="s">
        <v>282</v>
      </c>
    </row>
    <row r="23" spans="1:6" ht="42" customHeight="1" x14ac:dyDescent="0.25">
      <c r="A23" s="49">
        <v>6</v>
      </c>
      <c r="B23" s="24" t="s">
        <v>283</v>
      </c>
      <c r="C23" s="52" t="s">
        <v>284</v>
      </c>
      <c r="D23" s="1" t="s">
        <v>279</v>
      </c>
      <c r="E23" s="1"/>
      <c r="F23" s="12" t="s">
        <v>285</v>
      </c>
    </row>
    <row r="24" spans="1:6" ht="42" customHeight="1" x14ac:dyDescent="0.25">
      <c r="A24" s="49">
        <v>7</v>
      </c>
      <c r="B24" s="24" t="s">
        <v>286</v>
      </c>
      <c r="C24" s="52" t="s">
        <v>284</v>
      </c>
      <c r="D24" s="1" t="s">
        <v>279</v>
      </c>
      <c r="E24" s="1"/>
      <c r="F24" s="12" t="s">
        <v>287</v>
      </c>
    </row>
    <row r="25" spans="1:6" ht="42" customHeight="1" x14ac:dyDescent="0.25">
      <c r="A25" s="49">
        <v>8</v>
      </c>
      <c r="B25" s="24" t="s">
        <v>288</v>
      </c>
      <c r="C25" s="52" t="s">
        <v>284</v>
      </c>
      <c r="D25" s="1" t="s">
        <v>279</v>
      </c>
      <c r="E25" s="1"/>
      <c r="F25" s="12" t="s">
        <v>289</v>
      </c>
    </row>
    <row r="27" spans="1:6" x14ac:dyDescent="0.25">
      <c r="B27" s="4" t="s">
        <v>290</v>
      </c>
      <c r="C27" s="4"/>
      <c r="D27" s="4"/>
      <c r="E27" s="4"/>
      <c r="F27" s="4"/>
    </row>
  </sheetData>
  <mergeCells count="9">
    <mergeCell ref="D23:E23"/>
    <mergeCell ref="D24:E24"/>
    <mergeCell ref="D25:E25"/>
    <mergeCell ref="B27:F27"/>
    <mergeCell ref="D18:E18"/>
    <mergeCell ref="D19:E19"/>
    <mergeCell ref="D20:E20"/>
    <mergeCell ref="D21:E21"/>
    <mergeCell ref="D22:E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สรุป</vt:lpstr>
      <vt:lpstr>ข้อมูลเอกสาร</vt:lpstr>
      <vt:lpstr>วิธีคิดทีละขั้น</vt:lpstr>
      <vt:lpstr>รายการภาษี</vt:lpstr>
      <vt:lpstr>การชำระเงิน</vt:lpstr>
      <vt:lpstr>ตรวจสอบและข้อสังเกต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Nexttrip Holiday</cp:lastModifiedBy>
  <cp:revision>0</cp:revision>
  <dcterms:created xsi:type="dcterms:W3CDTF">2026-08-28T07:00:37Z</dcterms:created>
  <dcterms:modified xsi:type="dcterms:W3CDTF">2026-08-28T07:41:43Z</dcterms:modified>
  <dc:language>en-US</dc:language>
</cp:coreProperties>
</file>